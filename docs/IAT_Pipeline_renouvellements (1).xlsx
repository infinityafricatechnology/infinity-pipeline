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MARYAM SY SAVANE\Downloads\"/>
    </mc:Choice>
  </mc:AlternateContent>
  <xr:revisionPtr revIDLastSave="0" documentId="13_ncr:1_{141DCA43-93E3-46C2-A37F-6ECB5C6A521B}" xr6:coauthVersionLast="47" xr6:coauthVersionMax="47" xr10:uidLastSave="{00000000-0000-0000-0000-000000000000}"/>
  <bookViews>
    <workbookView xWindow="-108" yWindow="-108" windowWidth="23256" windowHeight="12456" tabRatio="500" firstSheet="2" activeTab="3" xr2:uid="{00000000-000D-0000-FFFF-FFFF00000000}"/>
  </bookViews>
  <sheets>
    <sheet name="Tableau de bord" sheetId="1" r:id="rId1"/>
    <sheet name="Renouvellements" sheetId="2" r:id="rId2"/>
    <sheet name="Pipeline" sheetId="3" r:id="rId3"/>
    <sheet name="CNPS" sheetId="7" r:id="rId4"/>
    <sheet name="NEURONES" sheetId="5" r:id="rId5"/>
    <sheet name="CNAM" sheetId="8" r:id="rId6"/>
    <sheet name="FER" sheetId="10" r:id="rId7"/>
    <sheet name="NSIA VIE" sheetId="6" r:id="rId8"/>
    <sheet name="Listes" sheetId="4" r:id="rId9"/>
  </sheets>
  <definedNames>
    <definedName name="_xlnm._FilterDatabase" localSheetId="2" hidden="1">Pipeline!$A$4:$Q$32</definedName>
    <definedName name="_xlnm._FilterDatabase" localSheetId="1" hidden="1">Renouvellements!$A$4:$P$18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2" i="8" l="1"/>
  <c r="G21" i="8"/>
  <c r="G20" i="8"/>
  <c r="G19" i="8"/>
  <c r="G18" i="8"/>
  <c r="G17" i="8"/>
  <c r="G16" i="8"/>
  <c r="G15" i="8"/>
  <c r="G14" i="8"/>
  <c r="G24" i="8" s="1"/>
  <c r="J32" i="3"/>
  <c r="I32" i="3"/>
  <c r="L32" i="3" s="1"/>
  <c r="A32" i="3"/>
  <c r="J31" i="3"/>
  <c r="I31" i="3"/>
  <c r="L31" i="3" s="1"/>
  <c r="A31" i="3"/>
  <c r="J30" i="3"/>
  <c r="I30" i="3"/>
  <c r="L30" i="3" s="1"/>
  <c r="A30" i="3"/>
  <c r="L29" i="3"/>
  <c r="J29" i="3"/>
  <c r="I29" i="3"/>
  <c r="A29" i="3"/>
  <c r="J28" i="3"/>
  <c r="I28" i="3"/>
  <c r="L28" i="3" s="1"/>
  <c r="A28" i="3"/>
  <c r="J27" i="3"/>
  <c r="I27" i="3"/>
  <c r="L27" i="3" s="1"/>
  <c r="A27" i="3"/>
  <c r="J26" i="3"/>
  <c r="I26" i="3"/>
  <c r="L26" i="3" s="1"/>
  <c r="A26" i="3"/>
  <c r="J25" i="3"/>
  <c r="I25" i="3"/>
  <c r="L25" i="3" s="1"/>
  <c r="A25" i="3"/>
  <c r="J24" i="3"/>
  <c r="I24" i="3"/>
  <c r="L24" i="3" s="1"/>
  <c r="A24" i="3"/>
  <c r="L23" i="3"/>
  <c r="J23" i="3"/>
  <c r="I23" i="3"/>
  <c r="A23" i="3"/>
  <c r="J22" i="3"/>
  <c r="I22" i="3"/>
  <c r="L22" i="3" s="1"/>
  <c r="A22" i="3"/>
  <c r="J21" i="3"/>
  <c r="I21" i="3"/>
  <c r="L21" i="3" s="1"/>
  <c r="A21" i="3"/>
  <c r="J20" i="3"/>
  <c r="I20" i="3"/>
  <c r="L20" i="3" s="1"/>
  <c r="A20" i="3"/>
  <c r="J19" i="3"/>
  <c r="I19" i="3"/>
  <c r="L19" i="3" s="1"/>
  <c r="A19" i="3"/>
  <c r="J18" i="3"/>
  <c r="I18" i="3"/>
  <c r="L18" i="3" s="1"/>
  <c r="A18" i="3"/>
  <c r="J17" i="3"/>
  <c r="I17" i="3"/>
  <c r="L17" i="3" s="1"/>
  <c r="J16" i="3"/>
  <c r="I16" i="3"/>
  <c r="L16" i="3" s="1"/>
  <c r="J15" i="3"/>
  <c r="I15" i="3"/>
  <c r="J14" i="3"/>
  <c r="I14" i="3"/>
  <c r="F30" i="1" s="1"/>
  <c r="L13" i="3"/>
  <c r="J13" i="3"/>
  <c r="I13" i="3"/>
  <c r="J12" i="3"/>
  <c r="I12" i="3"/>
  <c r="L12" i="3" s="1"/>
  <c r="J11" i="3"/>
  <c r="I11" i="3"/>
  <c r="L11" i="3" s="1"/>
  <c r="J10" i="3"/>
  <c r="I10" i="3"/>
  <c r="L10" i="3" s="1"/>
  <c r="J9" i="3"/>
  <c r="I9" i="3"/>
  <c r="L9" i="3" s="1"/>
  <c r="J8" i="3"/>
  <c r="I8" i="3"/>
  <c r="L8" i="3" s="1"/>
  <c r="J7" i="3"/>
  <c r="I7" i="3"/>
  <c r="J6" i="3"/>
  <c r="I6" i="3"/>
  <c r="L5" i="3"/>
  <c r="J5" i="3"/>
  <c r="I5" i="3"/>
  <c r="E19" i="2"/>
  <c r="K18" i="2"/>
  <c r="G18" i="2"/>
  <c r="J18" i="2" s="1"/>
  <c r="A18" i="2"/>
  <c r="K17" i="2"/>
  <c r="G17" i="2"/>
  <c r="J17" i="2" s="1"/>
  <c r="A17" i="2"/>
  <c r="K16" i="2"/>
  <c r="G16" i="2"/>
  <c r="I16" i="2" s="1"/>
  <c r="A16" i="2"/>
  <c r="K15" i="2"/>
  <c r="G15" i="2"/>
  <c r="H15" i="2" s="1"/>
  <c r="A15" i="2"/>
  <c r="K14" i="2"/>
  <c r="G14" i="2"/>
  <c r="J14" i="2" s="1"/>
  <c r="A14" i="2"/>
  <c r="K13" i="2"/>
  <c r="G13" i="2"/>
  <c r="J13" i="2" s="1"/>
  <c r="A13" i="2"/>
  <c r="K12" i="2"/>
  <c r="G12" i="2"/>
  <c r="I12" i="2" s="1"/>
  <c r="A12" i="2"/>
  <c r="K11" i="2"/>
  <c r="G11" i="2"/>
  <c r="J11" i="2" s="1"/>
  <c r="A11" i="2"/>
  <c r="K10" i="2"/>
  <c r="G17" i="1" s="1"/>
  <c r="J10" i="2"/>
  <c r="I10" i="2"/>
  <c r="H10" i="2"/>
  <c r="F17" i="1" s="1"/>
  <c r="G9" i="2"/>
  <c r="K9" i="2" s="1"/>
  <c r="G16" i="1" s="1"/>
  <c r="G8" i="2"/>
  <c r="J8" i="2" s="1"/>
  <c r="G7" i="2"/>
  <c r="J7" i="2" s="1"/>
  <c r="G6" i="2"/>
  <c r="H6" i="2" s="1"/>
  <c r="F13" i="1" s="1"/>
  <c r="G5" i="2"/>
  <c r="A43" i="1"/>
  <c r="D43" i="1" s="1"/>
  <c r="A42" i="1"/>
  <c r="C42" i="1" s="1"/>
  <c r="A41" i="1"/>
  <c r="D41" i="1" s="1"/>
  <c r="A40" i="1"/>
  <c r="B40" i="1" s="1"/>
  <c r="A39" i="1"/>
  <c r="C39" i="1" s="1"/>
  <c r="A38" i="1"/>
  <c r="D38" i="1" s="1"/>
  <c r="A37" i="1"/>
  <c r="B37" i="1" s="1"/>
  <c r="D32" i="1"/>
  <c r="C32" i="1"/>
  <c r="B32" i="1"/>
  <c r="G31" i="1"/>
  <c r="F31" i="1"/>
  <c r="D31" i="1"/>
  <c r="C31" i="1"/>
  <c r="B31" i="1"/>
  <c r="E31" i="1" s="1"/>
  <c r="D30" i="1"/>
  <c r="C30" i="1"/>
  <c r="B30" i="1"/>
  <c r="G29" i="1"/>
  <c r="F29" i="1"/>
  <c r="D29" i="1"/>
  <c r="C29" i="1"/>
  <c r="B29" i="1"/>
  <c r="G28" i="1"/>
  <c r="D28" i="1"/>
  <c r="C28" i="1"/>
  <c r="B28" i="1"/>
  <c r="G23" i="1"/>
  <c r="D23" i="1"/>
  <c r="C23" i="1"/>
  <c r="B23" i="1"/>
  <c r="H22" i="1"/>
  <c r="G22" i="1"/>
  <c r="G24" i="1" s="1"/>
  <c r="D22" i="1"/>
  <c r="C22" i="1"/>
  <c r="F22" i="1" s="1"/>
  <c r="B22" i="1"/>
  <c r="G21" i="1"/>
  <c r="D21" i="1"/>
  <c r="C21" i="1"/>
  <c r="F21" i="1" s="1"/>
  <c r="B21" i="1"/>
  <c r="H17" i="1"/>
  <c r="E17" i="1"/>
  <c r="D17" i="1"/>
  <c r="C17" i="1"/>
  <c r="B17" i="1"/>
  <c r="A17" i="1"/>
  <c r="H16" i="1"/>
  <c r="D16" i="1"/>
  <c r="C16" i="1"/>
  <c r="B16" i="1"/>
  <c r="A16" i="1"/>
  <c r="H15" i="1"/>
  <c r="D15" i="1"/>
  <c r="C15" i="1"/>
  <c r="B15" i="1"/>
  <c r="A15" i="1"/>
  <c r="H14" i="1"/>
  <c r="D14" i="1"/>
  <c r="C14" i="1"/>
  <c r="B14" i="1"/>
  <c r="A14" i="1"/>
  <c r="H13" i="1"/>
  <c r="D13" i="1"/>
  <c r="C13" i="1"/>
  <c r="B13" i="1"/>
  <c r="A13" i="1"/>
  <c r="H12" i="1"/>
  <c r="D12" i="1"/>
  <c r="C12" i="1"/>
  <c r="B12" i="1"/>
  <c r="A12" i="1"/>
  <c r="A9" i="1"/>
  <c r="E5" i="1"/>
  <c r="D5" i="1"/>
  <c r="B5" i="1"/>
  <c r="A5" i="1"/>
  <c r="G26" i="8" l="1"/>
  <c r="G28" i="8" s="1"/>
  <c r="G30" i="8" s="1"/>
  <c r="G25" i="8"/>
  <c r="E16" i="1"/>
  <c r="D9" i="1"/>
  <c r="E12" i="1"/>
  <c r="J6" i="2"/>
  <c r="H11" i="2"/>
  <c r="K6" i="2"/>
  <c r="G13" i="1" s="1"/>
  <c r="I11" i="2"/>
  <c r="I15" i="2"/>
  <c r="E15" i="1"/>
  <c r="K8" i="2"/>
  <c r="G15" i="1" s="1"/>
  <c r="J15" i="2"/>
  <c r="E13" i="1"/>
  <c r="D42" i="1"/>
  <c r="H13" i="2"/>
  <c r="E32" i="1"/>
  <c r="I13" i="2"/>
  <c r="I6" i="2"/>
  <c r="F23" i="1"/>
  <c r="E30" i="1"/>
  <c r="C5" i="1"/>
  <c r="H17" i="2"/>
  <c r="I17" i="2"/>
  <c r="E22" i="1"/>
  <c r="G32" i="1"/>
  <c r="B39" i="1"/>
  <c r="D39" i="1"/>
  <c r="C33" i="1"/>
  <c r="B33" i="1"/>
  <c r="B24" i="1"/>
  <c r="D24" i="1"/>
  <c r="D33" i="1"/>
  <c r="E29" i="1"/>
  <c r="B42" i="1"/>
  <c r="K5" i="2"/>
  <c r="H8" i="2"/>
  <c r="F15" i="1" s="1"/>
  <c r="C37" i="1"/>
  <c r="C40" i="1"/>
  <c r="C43" i="1"/>
  <c r="I9" i="2"/>
  <c r="D37" i="1"/>
  <c r="D40" i="1"/>
  <c r="H7" i="2"/>
  <c r="F14" i="1" s="1"/>
  <c r="J9" i="2"/>
  <c r="L6" i="3"/>
  <c r="L14" i="3"/>
  <c r="I7" i="2"/>
  <c r="F28" i="1"/>
  <c r="F33" i="1" s="1"/>
  <c r="G30" i="1"/>
  <c r="K7" i="2"/>
  <c r="G14" i="1" s="1"/>
  <c r="I14" i="2"/>
  <c r="L7" i="3"/>
  <c r="L15" i="3"/>
  <c r="E14" i="1"/>
  <c r="J12" i="2"/>
  <c r="J16" i="2"/>
  <c r="C24" i="1"/>
  <c r="I8" i="2"/>
  <c r="B43" i="1"/>
  <c r="H9" i="2"/>
  <c r="F16" i="1" s="1"/>
  <c r="E21" i="1"/>
  <c r="E23" i="1"/>
  <c r="E28" i="1"/>
  <c r="F32" i="1"/>
  <c r="B38" i="1"/>
  <c r="B41" i="1"/>
  <c r="H5" i="2"/>
  <c r="F12" i="1" s="1"/>
  <c r="H12" i="2"/>
  <c r="H14" i="2"/>
  <c r="H16" i="2"/>
  <c r="H18" i="2"/>
  <c r="H23" i="1"/>
  <c r="C38" i="1"/>
  <c r="C41" i="1"/>
  <c r="I5" i="2"/>
  <c r="I18" i="2"/>
  <c r="J5" i="2"/>
  <c r="F24" i="1" l="1"/>
  <c r="E33" i="1"/>
  <c r="E24" i="1"/>
  <c r="E9" i="1"/>
  <c r="C9" i="1"/>
  <c r="G12" i="1"/>
  <c r="B9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G10" authorId="0" shapeId="0" xr:uid="{00000000-0006-0000-0100-000001000000}">
      <text>
        <r>
          <rPr>
            <sz val="10"/>
            <rFont val="Arial"/>
            <family val="2"/>
          </rPr>
          <t>Date inconnue : saisir ici l'échéance du contrat de maintenance.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L4" authorId="0" shapeId="0" xr:uid="{00000000-0006-0000-0200-000001000000}">
      <text>
        <r>
          <rPr>
            <sz val="10"/>
            <rFont val="Arial"/>
            <family val="2"/>
          </rPr>
          <t>Nombre de jours écoulés depuis la date de facturation, affiché uniquement s'il reste un solde à encaisser.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C32" authorId="0" shapeId="0" xr:uid="{C20E2D02-3C1D-41EF-B84A-F0817049554E}">
      <text>
        <r>
          <rPr>
            <sz val="10"/>
            <rFont val="Arial"/>
            <family val="2"/>
          </rPr>
          <t>Déduit de la facture : remise 3 489 985 / Total HT 69 799 692 = 5 %</t>
        </r>
      </text>
    </comment>
  </commentList>
</comments>
</file>

<file path=xl/sharedStrings.xml><?xml version="1.0" encoding="utf-8"?>
<sst xmlns="http://schemas.openxmlformats.org/spreadsheetml/2006/main" count="399" uniqueCount="247">
  <si>
    <t>IAT — Tableau de bord CODIR · Pipeline clients &amp; renouvellements</t>
  </si>
  <si>
    <t>Calculé automatiquement à partir des onglets Renouvellements et Pipeline · Situation au 13/10/2026 · Montants en FCFA</t>
  </si>
  <si>
    <t>Montant total facturé</t>
  </si>
  <si>
    <t>Total encaissé</t>
  </si>
  <si>
    <t>Reste à encaisser</t>
  </si>
  <si>
    <t>Taux d'encaissement</t>
  </si>
  <si>
    <t>Deals en attente</t>
  </si>
  <si>
    <t>1. Renouvellements à sécuriser</t>
  </si>
  <si>
    <t>Montant récurrent annuel</t>
  </si>
  <si>
    <t>Échus non renouvelés</t>
  </si>
  <si>
    <t>Nb contrats échus</t>
  </si>
  <si>
    <t>Échéances sous 12 mois</t>
  </si>
  <si>
    <t>À relancer sous 90 j</t>
  </si>
  <si>
    <t>Client</t>
  </si>
  <si>
    <t>Contrat</t>
  </si>
  <si>
    <t>Dernière facturation</t>
  </si>
  <si>
    <t>Montant attendu</t>
  </si>
  <si>
    <t>Prochaine échéance</t>
  </si>
  <si>
    <t>Jours restants</t>
  </si>
  <si>
    <t>Alerte</t>
  </si>
  <si>
    <t>Statut du renouvellement</t>
  </si>
  <si>
    <t>2. Synthèse par exercice</t>
  </si>
  <si>
    <t>Exercice</t>
  </si>
  <si>
    <t>Nb deals</t>
  </si>
  <si>
    <t>Montant facturé</t>
  </si>
  <si>
    <t>Encaissé</t>
  </si>
  <si>
    <t>Solde à encaisser</t>
  </si>
  <si>
    <t>Évolution facturé vs N-1</t>
  </si>
  <si>
    <t>TOTAL</t>
  </si>
  <si>
    <t>3. Historique par client — montant facturé (suivi des renouvellements)</t>
  </si>
  <si>
    <t>2024</t>
  </si>
  <si>
    <t>2025</t>
  </si>
  <si>
    <t>2026</t>
  </si>
  <si>
    <t>Total 2024-2026</t>
  </si>
  <si>
    <t>Situation 2026</t>
  </si>
  <si>
    <t>CNAM</t>
  </si>
  <si>
    <t>CNPS</t>
  </si>
  <si>
    <t>FER</t>
  </si>
  <si>
    <t>NEURONE</t>
  </si>
  <si>
    <t>NSIA</t>
  </si>
  <si>
    <t>4. Répartition par étape du pipeline</t>
  </si>
  <si>
    <t>Étape</t>
  </si>
  <si>
    <t>Montant</t>
  </si>
  <si>
    <t>IAT — Calendrier et suivi des relances de renouvellement</t>
  </si>
  <si>
    <t>Contrats récurrents (licences et maintenance). Prochaine échéance = dernière facturation + 12 mois. Fond jaune = à renseigner (statut, porteur, relances). Texte bleu = données du point deals. Colonnes grises = calculées.</t>
  </si>
  <si>
    <t>N°</t>
  </si>
  <si>
    <t>Contrat / produit</t>
  </si>
  <si>
    <t>Dernier montant facturé</t>
  </si>
  <si>
    <t>Historique facturé</t>
  </si>
  <si>
    <t>Relance J-90</t>
  </si>
  <si>
    <t>Relance J-30</t>
  </si>
  <si>
    <t>Porteur</t>
  </si>
  <si>
    <t>Date dernière relance</t>
  </si>
  <si>
    <t>Prochaine action</t>
  </si>
  <si>
    <t>Commentaire</t>
  </si>
  <si>
    <t>Licences ManageEngine</t>
  </si>
  <si>
    <t>2025 : 21,6 M</t>
  </si>
  <si>
    <t>Offre envoyée</t>
  </si>
  <si>
    <t>Relance commerciale + rendez-vous avec la DSI CNPS pour obtenir la décision</t>
  </si>
  <si>
    <t>Offre 2026 en attente de retour CNPS. Échéance dépassée.</t>
  </si>
  <si>
    <t>Licence WithSecure</t>
  </si>
  <si>
    <t>2025 : 7,4 M</t>
  </si>
  <si>
    <t>Attente cotation fournisseur</t>
  </si>
  <si>
    <t>Relancer le fournisseur pour la cotation, puis émettre l'offre</t>
  </si>
  <si>
    <t>Blocage côté fournisseur. Échéance dépassée.</t>
  </si>
  <si>
    <t>2024 : 69,8 M · 2025 : 66,3 M · 2026 : 66,3 M</t>
  </si>
  <si>
    <t>Non démarré</t>
  </si>
  <si>
    <t>Préparer l'offre de renouvellement 2027 avant la relance J-90</t>
  </si>
  <si>
    <t>Premier contrat : 46 % du montant récurrent annuel</t>
  </si>
  <si>
    <t>2026 : 28,8 M (nouveau client)</t>
  </si>
  <si>
    <t>Point de satisfaction client avant la relance J-90</t>
  </si>
  <si>
    <t>2024 : 1,0 M · 2025 : 1,0 M · 2026 : 1,6 M</t>
  </si>
  <si>
    <t>Renouvelle chaque année en septembre</t>
  </si>
  <si>
    <t>Contrat de maintenance ManageEngine</t>
  </si>
  <si>
    <t>N/A</t>
  </si>
  <si>
    <t>2025 : 18 M · 2026 : 18 M</t>
  </si>
  <si>
    <t>Renseigner la date de facturation / d'échéance du contrat</t>
  </si>
  <si>
    <t>Date de facturation « N/A » dans le point deals : échéance à saisir en colonne G. Solde 2026 de 4,5 M encore à encaisser.</t>
  </si>
  <si>
    <t>Montant récurrent annuel (base dernière facturation)</t>
  </si>
  <si>
    <t>IAT — Pipeline des deals clients 2024 · 2025 · 2026</t>
  </si>
  <si>
    <t>Source : POINTS_DEALS_IAT.xlsx (onglets 2024, 2025, 2026), version du 13/10/2026 · Montants en FCFA · Saisie : texte bleu = données issues du fichier source ; fond jaune = à renseigner pendant le suivi ; colonnes grises = calculées</t>
  </si>
  <si>
    <t>Raison sociale (source)</t>
  </si>
  <si>
    <t>Deal / objet</t>
  </si>
  <si>
    <t>Date de facturation</t>
  </si>
  <si>
    <t>Montant du deal</t>
  </si>
  <si>
    <t>Montant encaissé</t>
  </si>
  <si>
    <t>Étape pipeline</t>
  </si>
  <si>
    <t>Jours depuis facturation (si solde)</t>
  </si>
  <si>
    <t>Échéance</t>
  </si>
  <si>
    <t>NSIA ASSURANCES</t>
  </si>
  <si>
    <t>Achat de licences ManageEngine</t>
  </si>
  <si>
    <t>Soldé</t>
  </si>
  <si>
    <t>Déploiement de licences ManageEngine</t>
  </si>
  <si>
    <t>Encaissé le 05/02/2025 (chèque 5770692)</t>
  </si>
  <si>
    <t>Encaissé le 18/03/2025</t>
  </si>
  <si>
    <t>Achat de licence WithSecure</t>
  </si>
  <si>
    <t>Encaissé en 3 fois (27/08, 14/11, 02/12/2025)</t>
  </si>
  <si>
    <t>Encaissé le 01/12/2025</t>
  </si>
  <si>
    <t>Contrat de maintenance licences ManageEngine</t>
  </si>
  <si>
    <t>Date de facturation non renseignée (N/A). Encaissé en déc. 2025 (9 M + 4,5 M + 4,5 M)</t>
  </si>
  <si>
    <t>Encaissé le 24/09/2025</t>
  </si>
  <si>
    <t>Renouvellement licences ManageEngine</t>
  </si>
  <si>
    <t>Encaissement partiel</t>
  </si>
  <si>
    <t>Relancer la direction financière CNAM pour le solde (facture jointe)</t>
  </si>
  <si>
    <t>Nouveau client 2026</t>
  </si>
  <si>
    <t>NSIA ASSURANCES VIE</t>
  </si>
  <si>
    <t>Offre envoyée - attente client</t>
  </si>
  <si>
    <t>Relance commerciale pour obtenir la décision CNPS</t>
  </si>
  <si>
    <t>Montant non chiffré. 2025 : 21 578 849 facturé le 10/02/2025</t>
  </si>
  <si>
    <t>Nouvelle offre (en attente cotation)</t>
  </si>
  <si>
    <t>Relancer le fournisseur, puis émettre l'offre client</t>
  </si>
  <si>
    <t>Montant non chiffré. 2025 : 7 383 000 (licence WithSecure)</t>
  </si>
  <si>
    <t>Étapes du pipeline</t>
  </si>
  <si>
    <t>Statuts de renouvellement</t>
  </si>
  <si>
    <t>Ajoutez ou renommez les étapes ici : la liste déroulante de l'onglet Pipeline se met à jour.</t>
  </si>
  <si>
    <t>Prospection</t>
  </si>
  <si>
    <t>Facturé - non encaissé</t>
  </si>
  <si>
    <t>Accord client</t>
  </si>
  <si>
    <t>Renouvelé</t>
  </si>
  <si>
    <t>Perdu</t>
  </si>
  <si>
    <t>Facturation trimestrielle de 4,5M</t>
  </si>
  <si>
    <t>A Monsieur ZIEGA Behi Claude</t>
  </si>
  <si>
    <t>NEURONNES TECHNOLOGIES</t>
  </si>
  <si>
    <t>Angré 8ème tranche Abidjan</t>
  </si>
  <si>
    <t>Tél:27 22 42 90 90</t>
  </si>
  <si>
    <t>Cél: 07 88 88 61 61</t>
  </si>
  <si>
    <t>bziega@neuronestech.com</t>
  </si>
  <si>
    <t>Objet: Facture définitive</t>
  </si>
  <si>
    <t>Réf</t>
  </si>
  <si>
    <t>Désignation</t>
  </si>
  <si>
    <t>P Unitaire</t>
  </si>
  <si>
    <t>Qtité</t>
  </si>
  <si>
    <t>PT HT</t>
  </si>
  <si>
    <t>Offre Eléments EPP+EDR Premium 1 an</t>
  </si>
  <si>
    <t>FCEDSU1NVXCQQ</t>
  </si>
  <si>
    <t>WithSecure Elements EDR and EPP for Computers Premium, Partner Managed Upgrade for 1 year  (100-499),</t>
  </si>
  <si>
    <t xml:space="preserve">4 560 000 CFA </t>
  </si>
  <si>
    <t>FCPSSN1NVXDIN</t>
  </si>
  <si>
    <t>WithSecure Support, Premium License (competitive upgrade and new) for 1 year  (500-999), International</t>
  </si>
  <si>
    <t xml:space="preserve">720 000 CFA </t>
  </si>
  <si>
    <t>En Option_WithSecure Elevate 1an</t>
  </si>
  <si>
    <t>FCZVSN1NVXAQQ</t>
  </si>
  <si>
    <t>WithSecure Elevate Package (2/1), Partner Managed for 1 year</t>
  </si>
  <si>
    <t xml:space="preserve"> 2 103 000 CFA </t>
  </si>
  <si>
    <t>Montant Total HT</t>
  </si>
  <si>
    <t>7 383 000 CFA</t>
  </si>
  <si>
    <t>TVA 18%</t>
  </si>
  <si>
    <t>-</t>
  </si>
  <si>
    <t>Acompte reçue le 22/08/2025</t>
  </si>
  <si>
    <t>-3 691 500 CFA</t>
  </si>
  <si>
    <t>Solde Restant à payer</t>
  </si>
  <si>
    <t>3 691 500 CFA</t>
  </si>
  <si>
    <t>wxxw</t>
  </si>
  <si>
    <t>Arrêtée la présente facture à la somme de:</t>
  </si>
  <si>
    <t>Trois Millions Six Cent Quatre Vingt Onze Mille Cinq Cent FCFA</t>
  </si>
  <si>
    <t>Comptabilité</t>
  </si>
  <si>
    <t>DESIGNATION</t>
  </si>
  <si>
    <t>La Comptabilité</t>
  </si>
  <si>
    <t>Abidjan le 10 Février 2025</t>
  </si>
  <si>
    <t>Abidijan-Plateau</t>
  </si>
  <si>
    <t>01 BP 317Abidjan 01</t>
  </si>
  <si>
    <t>NCC: 5000810F</t>
  </si>
  <si>
    <t>Tél: 27 20 25 10 00</t>
  </si>
  <si>
    <r>
      <t>Objet:</t>
    </r>
    <r>
      <rPr>
        <b/>
        <sz val="12"/>
        <color rgb="FF000000"/>
        <rFont val="Century Gothic"/>
      </rPr>
      <t xml:space="preserve">  Renouvellement des licences ManageEngine</t>
    </r>
  </si>
  <si>
    <t xml:space="preserve">MONTANT </t>
  </si>
  <si>
    <t>ManageEngine ADAudit Plus Professional Edition - Subscription Model</t>
  </si>
  <si>
    <t>Annual Subscription fee for 3 Domain Controllers</t>
  </si>
  <si>
    <t>Annual subscription fee for 25 Windows Servers</t>
  </si>
  <si>
    <t>Annual Subscription Fee for 2000 Workstations</t>
  </si>
  <si>
    <t>Annual subscription fee for 25 File Servers</t>
  </si>
  <si>
    <t>Total partiel ADAudit</t>
  </si>
  <si>
    <t>ManageEngine Recovery Manager Plus - Subscription Model</t>
  </si>
  <si>
    <t>Annual subscription fee for 2000 User Objects</t>
  </si>
  <si>
    <t>ManageEngine ADSelfService Plus Professional Edition</t>
  </si>
  <si>
    <t>Annual Maintenance and Support Fee for 2000 Domain Users</t>
  </si>
  <si>
    <t>ManageEngine ADManager Plus Professional Edition - Perpetual Model</t>
  </si>
  <si>
    <t>Single Installation License fee for 1 Domain (Unrestricted Objects) with 5help desk Technicians(Total of 35 technicians)</t>
  </si>
  <si>
    <t>Annual Maintenance and Support fee for 1 Domain (Unrestricted Objects) with 35 help desk Technicians</t>
  </si>
  <si>
    <t xml:space="preserve">TOTAL LICENCES HT </t>
  </si>
  <si>
    <t>Service Professionnel</t>
  </si>
  <si>
    <t>Intégration et mises à jour (4 jours)</t>
  </si>
  <si>
    <t>Formation (Forfait-8 jours)</t>
  </si>
  <si>
    <t xml:space="preserve">TOTAL GENERAL HT </t>
  </si>
  <si>
    <t xml:space="preserve">                                   -</t>
  </si>
  <si>
    <t>TOTAL TTC</t>
  </si>
  <si>
    <r>
      <t>Arrêtée la présente Facture à la somme de:</t>
    </r>
    <r>
      <rPr>
        <b/>
        <u/>
        <sz val="12"/>
        <color rgb="FF000000"/>
        <rFont val="Century Gothic"/>
      </rPr>
      <t xml:space="preserve"> Vingt Un </t>
    </r>
    <r>
      <rPr>
        <b/>
        <sz val="12"/>
        <color rgb="FF000000"/>
        <rFont val="Century Gothic"/>
      </rPr>
      <t>Millions Cinq Cent Soixante Dix Huit  Mille Huit Cent Quarante Neuf  FCFA</t>
    </r>
  </si>
  <si>
    <t xml:space="preserve">La Direction </t>
  </si>
  <si>
    <t>Abidjan le 21 Août 2025</t>
  </si>
  <si>
    <t>NEURONES</t>
  </si>
  <si>
    <t>FACTURE DE VENTE N° 2401345J26000000002</t>
  </si>
  <si>
    <t>ÉMETTEUR</t>
  </si>
  <si>
    <t>CLIENT</t>
  </si>
  <si>
    <t>Raison sociale : INFINITY AFRICA TECHNOLOGY (SAS – capital 10 000 000 FCFA)</t>
  </si>
  <si>
    <t>Nom : CAISSE NAT D'ASSURANCE MALADIE (CNAM)</t>
  </si>
  <si>
    <t>NCC : 2401345J</t>
  </si>
  <si>
    <t>NCC : 1504753F</t>
  </si>
  <si>
    <t>RCCM : CI-ABJ-03-2024-B16-00056</t>
  </si>
  <si>
    <t>Régime d'imposition : RS employeur</t>
  </si>
  <si>
    <t>Régime d'imposition : Microentreprise</t>
  </si>
  <si>
    <t>Adresse : facturesfne@ipscnam.ci</t>
  </si>
  <si>
    <t>Centre des impôts : 807 Impôts de Cocody</t>
  </si>
  <si>
    <t>Références bancaires : Ecobank CI059 01056 122000640001 47</t>
  </si>
  <si>
    <t>Date et heure : 27/02/2026 10:55:01</t>
  </si>
  <si>
    <t>Téléphone : 27 22 22 34 64</t>
  </si>
  <si>
    <t>Mode de paiement : Chèque</t>
  </si>
  <si>
    <t>Email : technology@infinity-africa.com</t>
  </si>
  <si>
    <t>Type : Facture normalisée électronique (FNE)</t>
  </si>
  <si>
    <t>P.U HT (FCFA)</t>
  </si>
  <si>
    <t>Qté</t>
  </si>
  <si>
    <t>Taxes</t>
  </si>
  <si>
    <t>Rem. (%)</t>
  </si>
  <si>
    <t>Montant HT (FCFA)</t>
  </si>
  <si>
    <t>ManageEngine ADManager Plus Professional Edition - Perpetual Licensing Model Single Installation License fee for additional 5 help desk Technicians (total of 1 domain and 10 tech)</t>
  </si>
  <si>
    <t>TVAD (0)</t>
  </si>
  <si>
    <t>Annual Maintenance and Support fee for 1 Domain (Unrestricted Objects) with 10 help desk Technicians</t>
  </si>
  <si>
    <t>ManageEngine Service Desk Plus Enterprise Edition - Perpetual Model Single Installation License fee for additional 15 technicians (Total of 30 Technicians (1000 nodes))</t>
  </si>
  <si>
    <t>Annual Maintenance and Support fee for 30 Technicians (1000 nodes)</t>
  </si>
  <si>
    <t>ManageEngine Endpoint Central UEM Edition Perpetual Licensing Model Annual Maintenance and Support Fee for ManageEngine Endpoint Central UEM Edition for 500 endpoints and Single User License</t>
  </si>
  <si>
    <t>Single Installation License fee for Additional 5 Users (Total of 15)</t>
  </si>
  <si>
    <t>Annual Maintenance and Support fee for 15 Users</t>
  </si>
  <si>
    <t>Annual Maintenance and Support Fee for ManageEngine Endpoint Central UEM Edition Endpoint Security for 200 Workstations</t>
  </si>
  <si>
    <t>Annual Maintenance and Support Fee for ManageEngine Endpoint Central UEM Edition for Multi-Language Pack License</t>
  </si>
  <si>
    <t>TOTAL HT</t>
  </si>
  <si>
    <t>REMISE</t>
  </si>
  <si>
    <t>TOTAL HT APRÈS REMISE</t>
  </si>
  <si>
    <t>TVA (exonération légale – 0 %)</t>
  </si>
  <si>
    <t>AUTRES TAXES</t>
  </si>
  <si>
    <t>TOTAL À PAYER</t>
  </si>
  <si>
    <t>Taux de remise globale appliqué</t>
  </si>
  <si>
    <t>Résumé : TVA exonération légale – Pas de TVA sur HT (taux 0 %, code D). Activités : Conseil, Stratégie, Ingénierie informatique, FinTech, Cybersécurité, Blockchain, Développement Web &amp; Mobile, IA.</t>
  </si>
  <si>
    <t>Source : facture PDF IAT n° 2401345J26000000002 du 27/02/2026 (chiffres en bleu = saisies de la facture).</t>
  </si>
  <si>
    <t>FACTURE DE VENTE N° 2401345J26000000008</t>
  </si>
  <si>
    <t>Nom : NSIA VIE ASSURANCES</t>
  </si>
  <si>
    <t>NCC : 8805053A</t>
  </si>
  <si>
    <t>Régime d'imposition : RNI</t>
  </si>
  <si>
    <t>Adresse : silvere.kacou@nsiaassurances.com</t>
  </si>
  <si>
    <t>Date et heure : 18/09/2026 16:56:08</t>
  </si>
  <si>
    <t>ManageEngine ServiceDesk Plus Multi-Language Professional Edition - Subscription Model</t>
  </si>
  <si>
    <t>Annual Subscription fee for 4 Technicians (250 IT Assets) (Start 01/10/26 End 01/10/27)</t>
  </si>
  <si>
    <t>Source : facture PDF IAT n° 2401345J26000000008 du 18/09/2026 (chiffres en bleu = saisies de la facture).</t>
  </si>
  <si>
    <t>FACTURE DE VENTE N° 2401345J26000000003</t>
  </si>
  <si>
    <t>Nom : FONDS D'ENTRETIEN ROUTIER (FER)</t>
  </si>
  <si>
    <t>NCC : 0304966P</t>
  </si>
  <si>
    <t>Adresse : atta.eblin@fer-ci.org</t>
  </si>
  <si>
    <t>Date et heure : 24/06/2026 09:00:26</t>
  </si>
  <si>
    <t>RENOUVELLEMENT DES LICENCES MANAGE ENGINE ISM, ITOM ET PAM POUR LE COMPTE DU FER SIEGE</t>
  </si>
  <si>
    <t>Source : facture PDF IAT n° 2401345J26000000003 du 24/06/2026 (chiffres en bleu = saisies de la facture).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</si>
</sst>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;\(#,##0\);\-"/>
    <numFmt numFmtId="165" formatCode="0%;\(0%\);\-"/>
    <numFmt numFmtId="166" formatCode="\+0%;\-0%;0%"/>
    <numFmt numFmtId="167" formatCode="0;\-0"/>
  </numFmts>
  <fonts count="42" x14ac:knownFonts="1">
    <font>
      <sz val="11"/>
      <color theme="1"/>
      <name val="Calibri"/>
      <family val="2"/>
      <charset val="1"/>
    </font>
    <font>
      <b/>
      <sz val="16"/>
      <color rgb="FF142B08"/>
      <name val="Arial"/>
      <charset val="1"/>
    </font>
    <font>
      <i/>
      <sz val="9"/>
      <color rgb="FF4D5340"/>
      <name val="Arial"/>
      <charset val="1"/>
    </font>
    <font>
      <b/>
      <sz val="9"/>
      <color rgb="FF4D5340"/>
      <name val="Arial"/>
      <charset val="1"/>
    </font>
    <font>
      <b/>
      <sz val="14"/>
      <color rgb="FF2E6B12"/>
      <name val="Arial"/>
      <charset val="1"/>
    </font>
    <font>
      <b/>
      <sz val="14"/>
      <color rgb="FF9A4512"/>
      <name val="Arial"/>
      <charset val="1"/>
    </font>
    <font>
      <b/>
      <sz val="11"/>
      <color rgb="FF2E6B12"/>
      <name val="Arial"/>
      <charset val="1"/>
    </font>
    <font>
      <b/>
      <sz val="14"/>
      <color rgb="FFC9452A"/>
      <name val="Arial"/>
      <charset val="1"/>
    </font>
    <font>
      <b/>
      <sz val="10"/>
      <color rgb="FF142B08"/>
      <name val="Arial"/>
      <charset val="1"/>
    </font>
    <font>
      <b/>
      <sz val="10"/>
      <color rgb="FF23281A"/>
      <name val="Arial"/>
      <charset val="1"/>
    </font>
    <font>
      <sz val="10"/>
      <color rgb="FF23281A"/>
      <name val="Arial"/>
      <charset val="1"/>
    </font>
    <font>
      <b/>
      <sz val="10"/>
      <color rgb="FF1F3FBF"/>
      <name val="Arial"/>
      <charset val="1"/>
    </font>
    <font>
      <sz val="10"/>
      <color rgb="FF1F3FBF"/>
      <name val="Arial"/>
      <charset val="1"/>
    </font>
    <font>
      <sz val="10"/>
      <color rgb="FF4D5340"/>
      <name val="Arial"/>
      <charset val="1"/>
    </font>
    <font>
      <sz val="10"/>
      <name val="Arial"/>
      <family val="2"/>
    </font>
    <font>
      <i/>
      <sz val="10"/>
      <color rgb="FF23281A"/>
      <name val="Arial"/>
      <charset val="1"/>
    </font>
    <font>
      <sz val="11"/>
      <color rgb="FF000000"/>
      <name val="Century Gothic"/>
      <family val="2"/>
    </font>
    <font>
      <sz val="11"/>
      <color rgb="FF000000"/>
      <name val="Century Gothic"/>
    </font>
    <font>
      <b/>
      <sz val="11"/>
      <color rgb="FF000000"/>
      <name val="Century Gothic"/>
    </font>
    <font>
      <b/>
      <sz val="11"/>
      <color rgb="FF000000"/>
      <name val="Century Gothic"/>
      <family val="2"/>
    </font>
    <font>
      <b/>
      <u/>
      <sz val="11"/>
      <color rgb="FF000000"/>
      <name val="Century Gothic"/>
    </font>
    <font>
      <u/>
      <sz val="11"/>
      <color rgb="FF000000"/>
      <name val="Century Gothic"/>
    </font>
    <font>
      <b/>
      <sz val="11"/>
      <color rgb="FF242424"/>
      <name val="Century Gothic"/>
    </font>
    <font>
      <u/>
      <sz val="11"/>
      <color theme="10"/>
      <name val="Calibri"/>
      <family val="2"/>
      <charset val="1"/>
    </font>
    <font>
      <sz val="12"/>
      <color rgb="FF000000"/>
      <name val="Century Gothic"/>
      <family val="2"/>
    </font>
    <font>
      <b/>
      <sz val="12"/>
      <color rgb="FF000000"/>
      <name val="Century Gothic"/>
      <family val="2"/>
    </font>
    <font>
      <b/>
      <sz val="12"/>
      <color rgb="FF000000"/>
      <name val="Century Gothic"/>
    </font>
    <font>
      <u/>
      <sz val="12"/>
      <color rgb="FF000000"/>
      <name val="Century Gothic"/>
    </font>
    <font>
      <b/>
      <u/>
      <sz val="12"/>
      <color rgb="FF000000"/>
      <name val="Century Gothic"/>
      <family val="2"/>
    </font>
    <font>
      <b/>
      <u/>
      <sz val="12"/>
      <color rgb="FF000000"/>
      <name val="Century Gothic"/>
    </font>
    <font>
      <u val="singleAccounting"/>
      <sz val="12"/>
      <color rgb="FF000000"/>
      <name val="Century Gothic"/>
      <family val="2"/>
    </font>
    <font>
      <b/>
      <sz val="10"/>
      <color rgb="FFFFFFFF"/>
      <name val="Arial"/>
      <family val="2"/>
    </font>
    <font>
      <b/>
      <sz val="11"/>
      <color rgb="FFFFFFFF"/>
      <name val="Arial"/>
      <family val="2"/>
    </font>
    <font>
      <b/>
      <sz val="10"/>
      <color rgb="FF1F3FBF"/>
      <name val="Arial"/>
      <family val="2"/>
    </font>
    <font>
      <u/>
      <sz val="12"/>
      <color rgb="FF000000"/>
      <name val="Century Gothic"/>
      <family val="2"/>
    </font>
    <font>
      <b/>
      <sz val="14"/>
      <color rgb="FFFFFFFF"/>
      <name val="Arial"/>
      <family val="2"/>
    </font>
    <font>
      <b/>
      <sz val="10"/>
      <color rgb="FF6B7A2E"/>
      <name val="Arial"/>
      <family val="2"/>
    </font>
    <font>
      <sz val="10"/>
      <color rgb="FF000000"/>
      <name val="Arial"/>
      <family val="2"/>
    </font>
    <font>
      <sz val="10"/>
      <color rgb="FF0000FF"/>
      <name val="Arial"/>
      <family val="2"/>
    </font>
    <font>
      <b/>
      <sz val="10"/>
      <color rgb="FF000000"/>
      <name val="Arial"/>
      <family val="2"/>
    </font>
    <font>
      <sz val="10"/>
      <color rgb="FF555555"/>
      <name val="Arial"/>
      <family val="2"/>
    </font>
    <font>
      <sz val="9"/>
      <color rgb="FF555555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92D050"/>
        <bgColor rgb="FFC6E8B0"/>
      </patternFill>
    </fill>
    <fill>
      <patternFill patternType="solid">
        <fgColor rgb="FFEEF8E6"/>
        <bgColor rgb="FFF4F4EF"/>
      </patternFill>
    </fill>
    <fill>
      <patternFill patternType="solid">
        <fgColor rgb="FFD8EFC8"/>
        <bgColor rgb="FFC6E8B0"/>
      </patternFill>
    </fill>
    <fill>
      <patternFill patternType="solid">
        <fgColor rgb="FFF4F4EF"/>
        <bgColor rgb="FFEEF8E6"/>
      </patternFill>
    </fill>
    <fill>
      <patternFill patternType="solid">
        <fgColor rgb="FFFFF6C7"/>
        <bgColor rgb="FFFBF3E3"/>
      </patternFill>
    </fill>
    <fill>
      <patternFill patternType="solid">
        <fgColor rgb="FFF2F2F2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rgb="FF6B7A2E"/>
        <bgColor rgb="FF808080"/>
      </patternFill>
    </fill>
    <fill>
      <patternFill patternType="solid">
        <fgColor rgb="FFEEF1E0"/>
        <bgColor rgb="FFFFFFFF"/>
      </patternFill>
    </fill>
  </fills>
  <borders count="37">
    <border>
      <left/>
      <right/>
      <top/>
      <bottom/>
      <diagonal/>
    </border>
    <border>
      <left/>
      <right/>
      <top/>
      <bottom style="thick">
        <color rgb="FF92D050"/>
      </bottom>
      <diagonal/>
    </border>
    <border>
      <left style="thin">
        <color rgb="FFD9DCC8"/>
      </left>
      <right style="thin">
        <color rgb="FFD9DCC8"/>
      </right>
      <top style="thin">
        <color rgb="FFD9DCC8"/>
      </top>
      <bottom style="thin">
        <color rgb="FFD9DCC8"/>
      </bottom>
      <diagonal/>
    </border>
    <border>
      <left style="thin">
        <color rgb="FFD9DCC8"/>
      </left>
      <right style="thin">
        <color rgb="FFD9DCC8"/>
      </right>
      <top style="medium">
        <color rgb="FF92D050"/>
      </top>
      <bottom style="thin">
        <color rgb="FFD9DCC8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 style="thin">
        <color rgb="FFA0A88A"/>
      </left>
      <right style="thin">
        <color rgb="FFA0A88A"/>
      </right>
      <top style="thin">
        <color rgb="FFA0A88A"/>
      </top>
      <bottom style="thin">
        <color rgb="FFA0A88A"/>
      </bottom>
      <diagonal/>
    </border>
  </borders>
  <cellStyleXfs count="2">
    <xf numFmtId="0" fontId="0" fillId="0" borderId="0"/>
    <xf numFmtId="0" fontId="23" fillId="0" borderId="0" applyNumberFormat="0" applyFill="0" applyBorder="0" applyAlignment="0" applyProtection="0"/>
  </cellStyleXfs>
  <cellXfs count="223">
    <xf numFmtId="0" fontId="0" fillId="0" borderId="0" xfId="0"/>
    <xf numFmtId="0" fontId="9" fillId="4" borderId="2" xfId="0" applyFont="1" applyFill="1" applyBorder="1" applyAlignment="1">
      <alignment vertical="center"/>
    </xf>
    <xf numFmtId="0" fontId="3" fillId="3" borderId="0" xfId="0" applyFont="1" applyFill="1" applyAlignment="1">
      <alignment horizontal="center" wrapText="1"/>
    </xf>
    <xf numFmtId="164" fontId="4" fillId="3" borderId="0" xfId="0" applyNumberFormat="1" applyFont="1" applyFill="1" applyAlignment="1">
      <alignment horizontal="center" vertical="center"/>
    </xf>
    <xf numFmtId="164" fontId="5" fillId="3" borderId="0" xfId="0" applyNumberFormat="1" applyFont="1" applyFill="1" applyAlignment="1">
      <alignment horizontal="center" vertical="center"/>
    </xf>
    <xf numFmtId="165" fontId="4" fillId="3" borderId="0" xfId="0" applyNumberFormat="1" applyFont="1" applyFill="1" applyAlignment="1">
      <alignment horizontal="center" vertical="center"/>
    </xf>
    <xf numFmtId="1" fontId="5" fillId="3" borderId="0" xfId="0" applyNumberFormat="1" applyFont="1" applyFill="1" applyAlignment="1">
      <alignment horizontal="center" vertical="center"/>
    </xf>
    <xf numFmtId="164" fontId="7" fillId="3" borderId="0" xfId="0" applyNumberFormat="1" applyFont="1" applyFill="1" applyAlignment="1">
      <alignment horizontal="center" vertical="center"/>
    </xf>
    <xf numFmtId="1" fontId="7" fillId="3" borderId="0" xfId="0" applyNumberFormat="1" applyFont="1" applyFill="1" applyAlignment="1">
      <alignment horizontal="center" vertical="center"/>
    </xf>
    <xf numFmtId="0" fontId="8" fillId="2" borderId="2" xfId="0" applyFont="1" applyFill="1" applyBorder="1" applyAlignment="1">
      <alignment horizontal="center" vertical="center" wrapText="1"/>
    </xf>
    <xf numFmtId="0" fontId="9" fillId="0" borderId="2" xfId="0" applyFont="1" applyBorder="1" applyAlignment="1">
      <alignment vertical="center"/>
    </xf>
    <xf numFmtId="0" fontId="10" fillId="0" borderId="2" xfId="0" applyFont="1" applyBorder="1" applyAlignment="1">
      <alignment vertical="center" wrapText="1"/>
    </xf>
    <xf numFmtId="14" fontId="10" fillId="0" borderId="2" xfId="0" applyNumberFormat="1" applyFont="1" applyBorder="1" applyAlignment="1">
      <alignment horizontal="center" vertical="center"/>
    </xf>
    <xf numFmtId="164" fontId="10" fillId="0" borderId="2" xfId="0" applyNumberFormat="1" applyFont="1" applyBorder="1" applyAlignment="1">
      <alignment vertical="center"/>
    </xf>
    <xf numFmtId="14" fontId="9" fillId="0" borderId="2" xfId="0" applyNumberFormat="1" applyFont="1" applyBorder="1" applyAlignment="1">
      <alignment horizontal="center" vertical="center"/>
    </xf>
    <xf numFmtId="1" fontId="10" fillId="0" borderId="2" xfId="0" applyNumberFormat="1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1" fontId="9" fillId="0" borderId="2" xfId="0" applyNumberFormat="1" applyFont="1" applyBorder="1" applyAlignment="1">
      <alignment horizontal="center" vertical="center"/>
    </xf>
    <xf numFmtId="165" fontId="10" fillId="0" borderId="2" xfId="0" applyNumberFormat="1" applyFont="1" applyBorder="1" applyAlignment="1">
      <alignment horizontal="center" vertical="center"/>
    </xf>
    <xf numFmtId="166" fontId="10" fillId="0" borderId="2" xfId="0" applyNumberFormat="1" applyFont="1" applyBorder="1" applyAlignment="1">
      <alignment horizontal="center" vertical="center"/>
    </xf>
    <xf numFmtId="0" fontId="9" fillId="4" borderId="2" xfId="0" applyFont="1" applyFill="1" applyBorder="1" applyAlignment="1">
      <alignment horizontal="center" vertical="center"/>
    </xf>
    <xf numFmtId="1" fontId="9" fillId="4" borderId="2" xfId="0" applyNumberFormat="1" applyFont="1" applyFill="1" applyBorder="1" applyAlignment="1">
      <alignment horizontal="center" vertical="center"/>
    </xf>
    <xf numFmtId="164" fontId="9" fillId="4" borderId="2" xfId="0" applyNumberFormat="1" applyFont="1" applyFill="1" applyBorder="1" applyAlignment="1">
      <alignment vertical="center"/>
    </xf>
    <xf numFmtId="165" fontId="9" fillId="4" borderId="2" xfId="0" applyNumberFormat="1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vertical="center"/>
    </xf>
    <xf numFmtId="0" fontId="8" fillId="0" borderId="0" xfId="0" applyFont="1" applyAlignment="1">
      <alignment horizontal="center" vertical="center" wrapText="1"/>
    </xf>
    <xf numFmtId="164" fontId="9" fillId="0" borderId="2" xfId="0" applyNumberFormat="1" applyFont="1" applyBorder="1" applyAlignment="1">
      <alignment vertical="center"/>
    </xf>
    <xf numFmtId="0" fontId="11" fillId="0" borderId="2" xfId="0" applyFont="1" applyBorder="1" applyAlignment="1">
      <alignment vertical="center"/>
    </xf>
    <xf numFmtId="0" fontId="12" fillId="0" borderId="2" xfId="0" applyFont="1" applyBorder="1" applyAlignment="1">
      <alignment vertical="center" wrapText="1"/>
    </xf>
    <xf numFmtId="14" fontId="12" fillId="0" borderId="2" xfId="0" applyNumberFormat="1" applyFont="1" applyBorder="1" applyAlignment="1">
      <alignment horizontal="center" vertical="center"/>
    </xf>
    <xf numFmtId="164" fontId="12" fillId="0" borderId="2" xfId="0" applyNumberFormat="1" applyFont="1" applyBorder="1" applyAlignment="1">
      <alignment vertical="center"/>
    </xf>
    <xf numFmtId="0" fontId="13" fillId="0" borderId="2" xfId="0" applyFont="1" applyBorder="1" applyAlignment="1">
      <alignment vertical="center" wrapText="1"/>
    </xf>
    <xf numFmtId="14" fontId="9" fillId="5" borderId="2" xfId="0" applyNumberFormat="1" applyFont="1" applyFill="1" applyBorder="1" applyAlignment="1">
      <alignment horizontal="center" vertical="center"/>
    </xf>
    <xf numFmtId="167" fontId="10" fillId="5" borderId="2" xfId="0" applyNumberFormat="1" applyFont="1" applyFill="1" applyBorder="1" applyAlignment="1">
      <alignment horizontal="center" vertical="center"/>
    </xf>
    <xf numFmtId="14" fontId="10" fillId="5" borderId="2" xfId="0" applyNumberFormat="1" applyFont="1" applyFill="1" applyBorder="1" applyAlignment="1">
      <alignment horizontal="center" vertical="center"/>
    </xf>
    <xf numFmtId="0" fontId="9" fillId="5" borderId="2" xfId="0" applyFont="1" applyFill="1" applyBorder="1" applyAlignment="1">
      <alignment horizontal="center" vertical="center"/>
    </xf>
    <xf numFmtId="0" fontId="9" fillId="6" borderId="2" xfId="0" applyFont="1" applyFill="1" applyBorder="1" applyAlignment="1">
      <alignment horizontal="center" vertical="center"/>
    </xf>
    <xf numFmtId="0" fontId="10" fillId="6" borderId="2" xfId="0" applyFont="1" applyFill="1" applyBorder="1" applyAlignment="1">
      <alignment vertical="center"/>
    </xf>
    <xf numFmtId="14" fontId="10" fillId="6" borderId="2" xfId="0" applyNumberFormat="1" applyFont="1" applyFill="1" applyBorder="1" applyAlignment="1">
      <alignment horizontal="center" vertical="center"/>
    </xf>
    <xf numFmtId="0" fontId="10" fillId="6" borderId="2" xfId="0" applyFont="1" applyFill="1" applyBorder="1" applyAlignment="1">
      <alignment vertical="center" wrapText="1"/>
    </xf>
    <xf numFmtId="14" fontId="9" fillId="6" borderId="2" xfId="0" applyNumberFormat="1" applyFont="1" applyFill="1" applyBorder="1" applyAlignment="1">
      <alignment horizontal="center" vertical="center"/>
    </xf>
    <xf numFmtId="0" fontId="12" fillId="0" borderId="2" xfId="0" applyFont="1" applyBorder="1" applyAlignment="1">
      <alignment vertical="center"/>
    </xf>
    <xf numFmtId="0" fontId="10" fillId="6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vertical="center"/>
    </xf>
    <xf numFmtId="1" fontId="12" fillId="0" borderId="2" xfId="0" applyNumberFormat="1" applyFont="1" applyBorder="1" applyAlignment="1">
      <alignment horizontal="center" vertical="center"/>
    </xf>
    <xf numFmtId="164" fontId="10" fillId="5" borderId="2" xfId="0" applyNumberFormat="1" applyFont="1" applyFill="1" applyBorder="1" applyAlignment="1">
      <alignment vertical="center"/>
    </xf>
    <xf numFmtId="165" fontId="10" fillId="5" borderId="2" xfId="0" applyNumberFormat="1" applyFont="1" applyFill="1" applyBorder="1" applyAlignment="1">
      <alignment horizontal="center" vertical="center"/>
    </xf>
    <xf numFmtId="1" fontId="10" fillId="5" borderId="2" xfId="0" applyNumberFormat="1" applyFont="1" applyFill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1" fontId="12" fillId="0" borderId="3" xfId="0" applyNumberFormat="1" applyFont="1" applyBorder="1" applyAlignment="1">
      <alignment horizontal="center" vertical="center"/>
    </xf>
    <xf numFmtId="0" fontId="11" fillId="0" borderId="3" xfId="0" applyFont="1" applyBorder="1" applyAlignment="1">
      <alignment vertical="center"/>
    </xf>
    <xf numFmtId="0" fontId="12" fillId="0" borderId="3" xfId="0" applyFont="1" applyBorder="1" applyAlignment="1">
      <alignment vertical="center"/>
    </xf>
    <xf numFmtId="0" fontId="12" fillId="0" borderId="3" xfId="0" applyFont="1" applyBorder="1" applyAlignment="1">
      <alignment vertical="center" wrapText="1"/>
    </xf>
    <xf numFmtId="14" fontId="12" fillId="0" borderId="3" xfId="0" applyNumberFormat="1" applyFont="1" applyBorder="1" applyAlignment="1">
      <alignment horizontal="center" vertical="center"/>
    </xf>
    <xf numFmtId="164" fontId="12" fillId="0" borderId="3" xfId="0" applyNumberFormat="1" applyFont="1" applyBorder="1" applyAlignment="1">
      <alignment vertical="center"/>
    </xf>
    <xf numFmtId="164" fontId="10" fillId="5" borderId="3" xfId="0" applyNumberFormat="1" applyFont="1" applyFill="1" applyBorder="1" applyAlignment="1">
      <alignment vertical="center"/>
    </xf>
    <xf numFmtId="165" fontId="10" fillId="5" borderId="3" xfId="0" applyNumberFormat="1" applyFont="1" applyFill="1" applyBorder="1" applyAlignment="1">
      <alignment horizontal="center" vertical="center"/>
    </xf>
    <xf numFmtId="0" fontId="9" fillId="6" borderId="3" xfId="0" applyFont="1" applyFill="1" applyBorder="1" applyAlignment="1">
      <alignment horizontal="center" vertical="center"/>
    </xf>
    <xf numFmtId="1" fontId="10" fillId="5" borderId="3" xfId="0" applyNumberFormat="1" applyFont="1" applyFill="1" applyBorder="1" applyAlignment="1">
      <alignment horizontal="center" vertical="center"/>
    </xf>
    <xf numFmtId="0" fontId="10" fillId="6" borderId="3" xfId="0" applyFont="1" applyFill="1" applyBorder="1" applyAlignment="1">
      <alignment vertical="center" wrapText="1"/>
    </xf>
    <xf numFmtId="0" fontId="10" fillId="6" borderId="3" xfId="0" applyFont="1" applyFill="1" applyBorder="1" applyAlignment="1">
      <alignment vertical="center"/>
    </xf>
    <xf numFmtId="14" fontId="10" fillId="6" borderId="3" xfId="0" applyNumberFormat="1" applyFont="1" applyFill="1" applyBorder="1" applyAlignment="1">
      <alignment horizontal="center" vertical="center"/>
    </xf>
    <xf numFmtId="0" fontId="10" fillId="0" borderId="3" xfId="0" applyFont="1" applyBorder="1" applyAlignment="1">
      <alignment vertical="center" wrapText="1"/>
    </xf>
    <xf numFmtId="0" fontId="15" fillId="0" borderId="2" xfId="0" applyFont="1" applyBorder="1" applyAlignment="1">
      <alignment vertical="center"/>
    </xf>
    <xf numFmtId="0" fontId="10" fillId="0" borderId="2" xfId="0" applyFont="1" applyBorder="1" applyAlignment="1">
      <alignment vertical="center"/>
    </xf>
    <xf numFmtId="0" fontId="6" fillId="0" borderId="1" xfId="0" applyFont="1" applyBorder="1"/>
    <xf numFmtId="0" fontId="1" fillId="2" borderId="0" xfId="0" applyFont="1" applyFill="1" applyAlignment="1">
      <alignment vertical="center" indent="1"/>
    </xf>
    <xf numFmtId="0" fontId="2" fillId="0" borderId="0" xfId="0" applyFont="1" applyAlignment="1">
      <alignment wrapText="1" indent="1"/>
    </xf>
    <xf numFmtId="0" fontId="9" fillId="4" borderId="2" xfId="0" applyFont="1" applyFill="1" applyBorder="1" applyAlignment="1">
      <alignment vertical="center"/>
    </xf>
    <xf numFmtId="0" fontId="16" fillId="0" borderId="0" xfId="0" applyFont="1"/>
    <xf numFmtId="0" fontId="17" fillId="0" borderId="0" xfId="0" applyFont="1"/>
    <xf numFmtId="0" fontId="17" fillId="0" borderId="0" xfId="0" applyFont="1" applyAlignment="1">
      <alignment wrapText="1"/>
    </xf>
    <xf numFmtId="0" fontId="18" fillId="0" borderId="0" xfId="0" applyFont="1" applyAlignment="1">
      <alignment wrapText="1"/>
    </xf>
    <xf numFmtId="0" fontId="19" fillId="0" borderId="0" xfId="0" applyFont="1"/>
    <xf numFmtId="0" fontId="19" fillId="0" borderId="9" xfId="0" applyFont="1" applyBorder="1" applyAlignment="1">
      <alignment horizontal="center"/>
    </xf>
    <xf numFmtId="0" fontId="18" fillId="0" borderId="10" xfId="0" applyFont="1" applyBorder="1" applyAlignment="1">
      <alignment vertical="center" wrapText="1"/>
    </xf>
    <xf numFmtId="0" fontId="18" fillId="0" borderId="9" xfId="0" applyFont="1" applyBorder="1" applyAlignment="1">
      <alignment horizontal="center" vertical="center"/>
    </xf>
    <xf numFmtId="0" fontId="18" fillId="0" borderId="10" xfId="0" applyFont="1" applyBorder="1" applyAlignment="1">
      <alignment horizontal="center" vertical="center"/>
    </xf>
    <xf numFmtId="0" fontId="16" fillId="0" borderId="9" xfId="0" applyFont="1" applyBorder="1" applyAlignment="1">
      <alignment horizontal="center" vertical="top"/>
    </xf>
    <xf numFmtId="0" fontId="18" fillId="0" borderId="0" xfId="0" applyFont="1" applyAlignment="1">
      <alignment horizontal="center" vertical="top" wrapText="1"/>
    </xf>
    <xf numFmtId="0" fontId="17" fillId="0" borderId="9" xfId="0" applyFont="1" applyBorder="1" applyAlignment="1">
      <alignment vertical="top"/>
    </xf>
    <xf numFmtId="0" fontId="17" fillId="0" borderId="0" xfId="0" applyFont="1" applyAlignment="1">
      <alignment horizontal="center" vertical="top"/>
    </xf>
    <xf numFmtId="0" fontId="19" fillId="0" borderId="11" xfId="0" applyFont="1" applyBorder="1" applyAlignment="1">
      <alignment horizontal="center" vertical="center"/>
    </xf>
    <xf numFmtId="0" fontId="16" fillId="0" borderId="0" xfId="0" applyFont="1" applyAlignment="1">
      <alignment horizontal="center" vertical="center" wrapText="1"/>
    </xf>
    <xf numFmtId="3" fontId="17" fillId="0" borderId="11" xfId="0" applyNumberFormat="1" applyFont="1" applyBorder="1" applyAlignment="1">
      <alignment horizontal="center" vertical="center"/>
    </xf>
    <xf numFmtId="0" fontId="17" fillId="0" borderId="0" xfId="0" applyFont="1" applyAlignment="1">
      <alignment horizontal="center" vertical="center" wrapText="1"/>
    </xf>
    <xf numFmtId="0" fontId="17" fillId="0" borderId="11" xfId="0" applyFont="1" applyBorder="1" applyAlignment="1">
      <alignment vertical="center"/>
    </xf>
    <xf numFmtId="0" fontId="17" fillId="0" borderId="11" xfId="0" applyFont="1" applyBorder="1" applyAlignment="1">
      <alignment horizontal="center" vertical="center"/>
    </xf>
    <xf numFmtId="0" fontId="17" fillId="0" borderId="0" xfId="0" applyFont="1" applyAlignment="1">
      <alignment horizontal="center" wrapText="1"/>
    </xf>
    <xf numFmtId="0" fontId="17" fillId="0" borderId="0" xfId="0" applyFont="1" applyAlignment="1">
      <alignment horizontal="center" vertical="center"/>
    </xf>
    <xf numFmtId="0" fontId="18" fillId="0" borderId="0" xfId="0" applyFont="1" applyAlignment="1">
      <alignment horizontal="center" wrapText="1"/>
    </xf>
    <xf numFmtId="0" fontId="16" fillId="0" borderId="12" xfId="0" applyFont="1" applyBorder="1"/>
    <xf numFmtId="0" fontId="17" fillId="0" borderId="13" xfId="0" applyFont="1" applyBorder="1" applyAlignment="1">
      <alignment vertical="center" wrapText="1"/>
    </xf>
    <xf numFmtId="0" fontId="17" fillId="0" borderId="12" xfId="0" applyFont="1" applyBorder="1" applyAlignment="1">
      <alignment vertical="center"/>
    </xf>
    <xf numFmtId="0" fontId="17" fillId="0" borderId="13" xfId="0" applyFont="1" applyBorder="1" applyAlignment="1">
      <alignment horizontal="center" vertical="center"/>
    </xf>
    <xf numFmtId="0" fontId="18" fillId="7" borderId="12" xfId="0" applyFont="1" applyFill="1" applyBorder="1" applyAlignment="1">
      <alignment horizontal="center" vertical="top"/>
    </xf>
    <xf numFmtId="0" fontId="18" fillId="7" borderId="15" xfId="0" applyFont="1" applyFill="1" applyBorder="1" applyAlignment="1">
      <alignment horizontal="center" vertical="top"/>
    </xf>
    <xf numFmtId="0" fontId="18" fillId="7" borderId="15" xfId="0" applyFont="1" applyFill="1" applyBorder="1" applyAlignment="1">
      <alignment horizontal="center" vertical="center"/>
    </xf>
    <xf numFmtId="0" fontId="18" fillId="7" borderId="18" xfId="0" applyFont="1" applyFill="1" applyBorder="1" applyAlignment="1">
      <alignment horizontal="center" vertical="top"/>
    </xf>
    <xf numFmtId="0" fontId="20" fillId="0" borderId="0" xfId="0" applyFont="1"/>
    <xf numFmtId="0" fontId="21" fillId="0" borderId="0" xfId="0" applyFont="1" applyAlignment="1">
      <alignment horizontal="left"/>
    </xf>
    <xf numFmtId="0" fontId="22" fillId="0" borderId="0" xfId="0" applyFont="1" applyAlignment="1">
      <alignment wrapText="1"/>
    </xf>
    <xf numFmtId="0" fontId="17" fillId="0" borderId="0" xfId="0" applyFont="1" applyAlignment="1">
      <alignment horizontal="right" vertical="center"/>
    </xf>
    <xf numFmtId="0" fontId="18" fillId="7" borderId="4" xfId="0" applyFont="1" applyFill="1" applyBorder="1" applyAlignment="1">
      <alignment horizontal="center" vertical="center" wrapText="1"/>
    </xf>
    <xf numFmtId="0" fontId="18" fillId="7" borderId="5" xfId="0" applyFont="1" applyFill="1" applyBorder="1" applyAlignment="1">
      <alignment horizontal="center" vertical="center" wrapText="1"/>
    </xf>
    <xf numFmtId="0" fontId="18" fillId="7" borderId="6" xfId="0" applyFont="1" applyFill="1" applyBorder="1" applyAlignment="1">
      <alignment horizontal="center" vertical="center" wrapText="1"/>
    </xf>
    <xf numFmtId="0" fontId="18" fillId="7" borderId="0" xfId="0" applyFont="1" applyFill="1" applyBorder="1" applyAlignment="1">
      <alignment horizontal="center" vertical="center" wrapText="1"/>
    </xf>
    <xf numFmtId="0" fontId="18" fillId="7" borderId="6" xfId="0" applyFont="1" applyFill="1" applyBorder="1" applyAlignment="1">
      <alignment horizontal="center"/>
    </xf>
    <xf numFmtId="0" fontId="18" fillId="7" borderId="0" xfId="0" applyFont="1" applyFill="1" applyBorder="1" applyAlignment="1">
      <alignment horizontal="center"/>
    </xf>
    <xf numFmtId="0" fontId="23" fillId="7" borderId="7" xfId="1" applyFill="1" applyBorder="1" applyAlignment="1">
      <alignment horizontal="center"/>
    </xf>
    <xf numFmtId="0" fontId="23" fillId="7" borderId="8" xfId="1" applyFill="1" applyBorder="1" applyAlignment="1">
      <alignment horizontal="center"/>
    </xf>
    <xf numFmtId="0" fontId="18" fillId="7" borderId="19" xfId="0" applyFont="1" applyFill="1" applyBorder="1" applyAlignment="1">
      <alignment horizontal="right" vertical="center"/>
    </xf>
    <xf numFmtId="0" fontId="18" fillId="7" borderId="20" xfId="0" applyFont="1" applyFill="1" applyBorder="1" applyAlignment="1">
      <alignment horizontal="right" vertical="center"/>
    </xf>
    <xf numFmtId="0" fontId="18" fillId="7" borderId="14" xfId="0" applyFont="1" applyFill="1" applyBorder="1" applyAlignment="1">
      <alignment horizontal="right" vertical="center"/>
    </xf>
    <xf numFmtId="0" fontId="18" fillId="7" borderId="21" xfId="0" applyFont="1" applyFill="1" applyBorder="1" applyAlignment="1">
      <alignment horizontal="right" vertical="center"/>
    </xf>
    <xf numFmtId="0" fontId="18" fillId="7" borderId="16" xfId="0" applyFont="1" applyFill="1" applyBorder="1" applyAlignment="1">
      <alignment horizontal="center" vertical="center" wrapText="1"/>
    </xf>
    <xf numFmtId="0" fontId="18" fillId="7" borderId="22" xfId="0" applyFont="1" applyFill="1" applyBorder="1" applyAlignment="1">
      <alignment horizontal="center" vertical="center" wrapText="1"/>
    </xf>
    <xf numFmtId="0" fontId="18" fillId="7" borderId="16" xfId="0" applyFont="1" applyFill="1" applyBorder="1" applyAlignment="1">
      <alignment horizontal="right" vertical="center"/>
    </xf>
    <xf numFmtId="0" fontId="18" fillId="7" borderId="22" xfId="0" applyFont="1" applyFill="1" applyBorder="1" applyAlignment="1">
      <alignment horizontal="right" vertical="center"/>
    </xf>
    <xf numFmtId="0" fontId="22" fillId="0" borderId="0" xfId="0" applyFont="1" applyAlignment="1">
      <alignment horizontal="left" vertical="center" wrapText="1"/>
    </xf>
    <xf numFmtId="0" fontId="24" fillId="0" borderId="0" xfId="0" applyFont="1"/>
    <xf numFmtId="0" fontId="25" fillId="7" borderId="26" xfId="0" applyFont="1" applyFill="1" applyBorder="1" applyAlignment="1">
      <alignment horizontal="center"/>
    </xf>
    <xf numFmtId="0" fontId="25" fillId="7" borderId="27" xfId="0" applyFont="1" applyFill="1" applyBorder="1" applyAlignment="1">
      <alignment horizontal="center"/>
    </xf>
    <xf numFmtId="0" fontId="26" fillId="0" borderId="0" xfId="0" applyFont="1"/>
    <xf numFmtId="0" fontId="25" fillId="0" borderId="16" xfId="0" applyFont="1" applyBorder="1" applyAlignment="1">
      <alignment horizontal="center" vertical="center"/>
    </xf>
    <xf numFmtId="0" fontId="25" fillId="0" borderId="18" xfId="0" applyFont="1" applyBorder="1" applyAlignment="1">
      <alignment horizontal="center" vertical="center"/>
    </xf>
    <xf numFmtId="0" fontId="24" fillId="0" borderId="0" xfId="0" applyFont="1"/>
    <xf numFmtId="0" fontId="25" fillId="7" borderId="23" xfId="0" applyFont="1" applyFill="1" applyBorder="1" applyAlignment="1">
      <alignment horizontal="center"/>
    </xf>
    <xf numFmtId="0" fontId="25" fillId="7" borderId="24" xfId="0" applyFont="1" applyFill="1" applyBorder="1" applyAlignment="1">
      <alignment horizontal="center"/>
    </xf>
    <xf numFmtId="0" fontId="25" fillId="7" borderId="25" xfId="0" applyFont="1" applyFill="1" applyBorder="1" applyAlignment="1">
      <alignment horizontal="center"/>
    </xf>
    <xf numFmtId="0" fontId="25" fillId="7" borderId="0" xfId="0" applyFont="1" applyFill="1" applyBorder="1" applyAlignment="1">
      <alignment horizontal="center"/>
    </xf>
    <xf numFmtId="0" fontId="28" fillId="0" borderId="0" xfId="0" applyFont="1" applyAlignment="1">
      <alignment horizontal="center"/>
    </xf>
    <xf numFmtId="0" fontId="24" fillId="0" borderId="0" xfId="0" applyFont="1" applyAlignment="1">
      <alignment wrapText="1"/>
    </xf>
    <xf numFmtId="0" fontId="29" fillId="0" borderId="0" xfId="0" applyFont="1" applyAlignment="1">
      <alignment wrapText="1"/>
    </xf>
    <xf numFmtId="0" fontId="25" fillId="0" borderId="28" xfId="0" applyFont="1" applyBorder="1" applyAlignment="1">
      <alignment wrapText="1"/>
    </xf>
    <xf numFmtId="0" fontId="25" fillId="8" borderId="16" xfId="0" applyFont="1" applyFill="1" applyBorder="1" applyAlignment="1">
      <alignment wrapText="1"/>
    </xf>
    <xf numFmtId="0" fontId="24" fillId="0" borderId="30" xfId="0" applyFont="1" applyBorder="1" applyAlignment="1">
      <alignment wrapText="1"/>
    </xf>
    <xf numFmtId="0" fontId="25" fillId="0" borderId="30" xfId="0" applyFont="1" applyBorder="1" applyAlignment="1">
      <alignment wrapText="1"/>
    </xf>
    <xf numFmtId="0" fontId="25" fillId="8" borderId="15" xfId="0" applyFont="1" applyFill="1" applyBorder="1" applyAlignment="1">
      <alignment wrapText="1"/>
    </xf>
    <xf numFmtId="0" fontId="24" fillId="0" borderId="15" xfId="0" applyFont="1" applyBorder="1" applyAlignment="1">
      <alignment wrapText="1"/>
    </xf>
    <xf numFmtId="0" fontId="25" fillId="0" borderId="18" xfId="0" applyFont="1" applyBorder="1" applyAlignment="1">
      <alignment wrapText="1"/>
    </xf>
    <xf numFmtId="0" fontId="25" fillId="0" borderId="15" xfId="0" applyFont="1" applyBorder="1" applyAlignment="1">
      <alignment wrapText="1"/>
    </xf>
    <xf numFmtId="0" fontId="30" fillId="0" borderId="0" xfId="0" applyFont="1"/>
    <xf numFmtId="0" fontId="24" fillId="0" borderId="0" xfId="0" applyFont="1" applyAlignment="1">
      <alignment horizontal="right" wrapText="1"/>
    </xf>
    <xf numFmtId="0" fontId="25" fillId="0" borderId="16" xfId="0" applyFont="1" applyBorder="1"/>
    <xf numFmtId="0" fontId="25" fillId="0" borderId="17" xfId="0" applyFont="1" applyBorder="1"/>
    <xf numFmtId="0" fontId="25" fillId="8" borderId="16" xfId="0" applyFont="1" applyFill="1" applyBorder="1"/>
    <xf numFmtId="0" fontId="25" fillId="8" borderId="17" xfId="0" applyFont="1" applyFill="1" applyBorder="1"/>
    <xf numFmtId="3" fontId="24" fillId="0" borderId="30" xfId="0" applyNumberFormat="1" applyFont="1" applyBorder="1"/>
    <xf numFmtId="3" fontId="24" fillId="0" borderId="28" xfId="0" applyNumberFormat="1" applyFont="1" applyBorder="1"/>
    <xf numFmtId="3" fontId="24" fillId="0" borderId="29" xfId="0" applyNumberFormat="1" applyFont="1" applyBorder="1"/>
    <xf numFmtId="3" fontId="24" fillId="0" borderId="0" xfId="0" applyNumberFormat="1" applyFont="1" applyBorder="1"/>
    <xf numFmtId="3" fontId="25" fillId="0" borderId="34" xfId="0" applyNumberFormat="1" applyFont="1" applyBorder="1"/>
    <xf numFmtId="3" fontId="25" fillId="0" borderId="32" xfId="0" applyNumberFormat="1" applyFont="1" applyBorder="1"/>
    <xf numFmtId="3" fontId="25" fillId="0" borderId="16" xfId="0" applyNumberFormat="1" applyFont="1" applyBorder="1"/>
    <xf numFmtId="3" fontId="25" fillId="0" borderId="17" xfId="0" applyNumberFormat="1" applyFont="1" applyBorder="1"/>
    <xf numFmtId="3" fontId="25" fillId="0" borderId="28" xfId="0" applyNumberFormat="1" applyFont="1" applyBorder="1"/>
    <xf numFmtId="3" fontId="25" fillId="0" borderId="29" xfId="0" applyNumberFormat="1" applyFont="1" applyBorder="1"/>
    <xf numFmtId="3" fontId="25" fillId="8" borderId="16" xfId="0" applyNumberFormat="1" applyFont="1" applyFill="1" applyBorder="1"/>
    <xf numFmtId="3" fontId="25" fillId="8" borderId="17" xfId="0" applyNumberFormat="1" applyFont="1" applyFill="1" applyBorder="1"/>
    <xf numFmtId="0" fontId="27" fillId="0" borderId="0" xfId="0" applyFont="1" applyAlignment="1">
      <alignment wrapText="1"/>
    </xf>
    <xf numFmtId="0" fontId="16" fillId="0" borderId="0" xfId="0" applyFont="1" applyAlignment="1">
      <alignment horizontal="right" vertical="center"/>
    </xf>
    <xf numFmtId="0" fontId="33" fillId="0" borderId="2" xfId="0" applyFont="1" applyBorder="1" applyAlignment="1">
      <alignment vertical="center"/>
    </xf>
    <xf numFmtId="0" fontId="24" fillId="0" borderId="32" xfId="0" applyFont="1" applyBorder="1"/>
    <xf numFmtId="0" fontId="24" fillId="0" borderId="0" xfId="0" applyFont="1" applyAlignment="1">
      <alignment horizontal="left"/>
    </xf>
    <xf numFmtId="0" fontId="34" fillId="0" borderId="0" xfId="0" applyFont="1" applyAlignment="1">
      <alignment horizontal="left"/>
    </xf>
    <xf numFmtId="0" fontId="35" fillId="9" borderId="0" xfId="0" applyFont="1" applyFill="1" applyAlignment="1">
      <alignment horizontal="center" vertical="center"/>
    </xf>
    <xf numFmtId="0" fontId="36" fillId="0" borderId="0" xfId="0" applyFont="1"/>
    <xf numFmtId="0" fontId="36" fillId="0" borderId="0" xfId="0" applyFont="1"/>
    <xf numFmtId="0" fontId="37" fillId="0" borderId="0" xfId="0" applyFont="1"/>
    <xf numFmtId="0" fontId="37" fillId="0" borderId="0" xfId="0" applyFont="1"/>
    <xf numFmtId="0" fontId="31" fillId="9" borderId="36" xfId="0" applyFont="1" applyFill="1" applyBorder="1" applyAlignment="1">
      <alignment horizontal="center" vertical="center" wrapText="1"/>
    </xf>
    <xf numFmtId="0" fontId="37" fillId="0" borderId="36" xfId="0" applyFont="1" applyBorder="1" applyAlignment="1">
      <alignment horizontal="center" vertical="top"/>
    </xf>
    <xf numFmtId="0" fontId="37" fillId="0" borderId="36" xfId="0" applyFont="1" applyBorder="1" applyAlignment="1">
      <alignment vertical="top" wrapText="1"/>
    </xf>
    <xf numFmtId="164" fontId="38" fillId="0" borderId="36" xfId="0" applyNumberFormat="1" applyFont="1" applyBorder="1" applyAlignment="1">
      <alignment vertical="top"/>
    </xf>
    <xf numFmtId="0" fontId="38" fillId="0" borderId="36" xfId="0" applyFont="1" applyBorder="1" applyAlignment="1">
      <alignment horizontal="center" vertical="top"/>
    </xf>
    <xf numFmtId="9" fontId="38" fillId="0" borderId="36" xfId="0" applyNumberFormat="1" applyFont="1" applyBorder="1" applyAlignment="1">
      <alignment horizontal="center" vertical="top"/>
    </xf>
    <xf numFmtId="164" fontId="37" fillId="0" borderId="36" xfId="0" applyNumberFormat="1" applyFont="1" applyBorder="1" applyAlignment="1">
      <alignment vertical="top"/>
    </xf>
    <xf numFmtId="0" fontId="37" fillId="10" borderId="36" xfId="0" applyFont="1" applyFill="1" applyBorder="1" applyAlignment="1">
      <alignment horizontal="center" vertical="top"/>
    </xf>
    <xf numFmtId="0" fontId="37" fillId="10" borderId="36" xfId="0" applyFont="1" applyFill="1" applyBorder="1" applyAlignment="1">
      <alignment vertical="top" wrapText="1"/>
    </xf>
    <xf numFmtId="164" fontId="38" fillId="10" borderId="36" xfId="0" applyNumberFormat="1" applyFont="1" applyFill="1" applyBorder="1" applyAlignment="1">
      <alignment vertical="top"/>
    </xf>
    <xf numFmtId="0" fontId="38" fillId="10" borderId="36" xfId="0" applyFont="1" applyFill="1" applyBorder="1" applyAlignment="1">
      <alignment horizontal="center" vertical="top"/>
    </xf>
    <xf numFmtId="9" fontId="38" fillId="10" borderId="36" xfId="0" applyNumberFormat="1" applyFont="1" applyFill="1" applyBorder="1" applyAlignment="1">
      <alignment horizontal="center" vertical="top"/>
    </xf>
    <xf numFmtId="164" fontId="37" fillId="10" borderId="36" xfId="0" applyNumberFormat="1" applyFont="1" applyFill="1" applyBorder="1" applyAlignment="1">
      <alignment vertical="top"/>
    </xf>
    <xf numFmtId="0" fontId="39" fillId="0" borderId="36" xfId="0" applyFont="1" applyBorder="1" applyAlignment="1">
      <alignment horizontal="right"/>
    </xf>
    <xf numFmtId="164" fontId="39" fillId="0" borderId="36" xfId="0" applyNumberFormat="1" applyFont="1" applyBorder="1"/>
    <xf numFmtId="164" fontId="38" fillId="0" borderId="36" xfId="0" applyNumberFormat="1" applyFont="1" applyBorder="1"/>
    <xf numFmtId="0" fontId="32" fillId="9" borderId="36" xfId="0" applyFont="1" applyFill="1" applyBorder="1" applyAlignment="1">
      <alignment horizontal="right"/>
    </xf>
    <xf numFmtId="164" fontId="32" fillId="9" borderId="36" xfId="0" applyNumberFormat="1" applyFont="1" applyFill="1" applyBorder="1"/>
    <xf numFmtId="0" fontId="40" fillId="0" borderId="0" xfId="0" applyFont="1"/>
    <xf numFmtId="9" fontId="38" fillId="0" borderId="0" xfId="0" applyNumberFormat="1" applyFont="1"/>
    <xf numFmtId="0" fontId="41" fillId="0" borderId="0" xfId="0" applyFont="1" applyAlignment="1">
      <alignment wrapText="1"/>
    </xf>
    <xf numFmtId="0" fontId="41" fillId="0" borderId="0" xfId="0" applyFont="1"/>
    <xf numFmtId="0" fontId="25" fillId="0" borderId="17" xfId="0" applyFont="1" applyBorder="1" applyAlignment="1">
      <alignment horizontal="center" vertical="center"/>
    </xf>
    <xf numFmtId="0" fontId="25" fillId="0" borderId="22" xfId="0" applyFont="1" applyBorder="1" applyAlignment="1">
      <alignment horizontal="center" vertical="center"/>
    </xf>
    <xf numFmtId="0" fontId="24" fillId="0" borderId="30" xfId="0" applyFont="1" applyBorder="1" applyAlignment="1">
      <alignment horizontal="center" vertical="center" wrapText="1"/>
    </xf>
    <xf numFmtId="0" fontId="24" fillId="0" borderId="0" xfId="0" applyFont="1" applyBorder="1" applyAlignment="1">
      <alignment horizontal="center" vertical="center" wrapText="1"/>
    </xf>
    <xf numFmtId="0" fontId="24" fillId="0" borderId="33" xfId="0" applyFont="1" applyBorder="1" applyAlignment="1">
      <alignment horizontal="center" vertical="center" wrapText="1"/>
    </xf>
    <xf numFmtId="3" fontId="24" fillId="0" borderId="31" xfId="0" applyNumberFormat="1" applyFont="1" applyBorder="1" applyAlignment="1">
      <alignment horizontal="center" vertical="center"/>
    </xf>
    <xf numFmtId="0" fontId="24" fillId="0" borderId="35" xfId="0" applyFont="1" applyBorder="1"/>
    <xf numFmtId="0" fontId="0" fillId="0" borderId="0" xfId="0"/>
    <xf numFmtId="0" fontId="31" fillId="9" borderId="36" xfId="0" applyFont="1" applyFill="1" applyBorder="1" applyAlignment="1">
      <alignment horizontal="center" vertical="center" wrapText="1"/>
    </xf>
    <xf numFmtId="0" fontId="37" fillId="0" borderId="36" xfId="0" applyFont="1" applyBorder="1" applyAlignment="1">
      <alignment vertical="top" wrapText="1"/>
    </xf>
    <xf numFmtId="164" fontId="38" fillId="0" borderId="36" xfId="0" applyNumberFormat="1" applyFont="1" applyBorder="1" applyAlignment="1">
      <alignment vertical="top"/>
    </xf>
    <xf numFmtId="0" fontId="38" fillId="0" borderId="36" xfId="0" applyFont="1" applyBorder="1" applyAlignment="1">
      <alignment horizontal="center" vertical="top"/>
    </xf>
    <xf numFmtId="0" fontId="37" fillId="0" borderId="36" xfId="0" applyFont="1" applyBorder="1" applyAlignment="1">
      <alignment horizontal="center" vertical="top"/>
    </xf>
    <xf numFmtId="9" fontId="38" fillId="0" borderId="36" xfId="0" applyNumberFormat="1" applyFont="1" applyBorder="1" applyAlignment="1">
      <alignment horizontal="center" vertical="top"/>
    </xf>
    <xf numFmtId="164" fontId="37" fillId="0" borderId="36" xfId="0" applyNumberFormat="1" applyFont="1" applyBorder="1" applyAlignment="1">
      <alignment vertical="top"/>
    </xf>
    <xf numFmtId="164" fontId="39" fillId="0" borderId="36" xfId="0" applyNumberFormat="1" applyFont="1" applyBorder="1"/>
    <xf numFmtId="164" fontId="38" fillId="0" borderId="36" xfId="0" applyNumberFormat="1" applyFont="1" applyBorder="1"/>
    <xf numFmtId="164" fontId="32" fillId="9" borderId="36" xfId="0" applyNumberFormat="1" applyFont="1" applyFill="1" applyBorder="1"/>
    <xf numFmtId="0" fontId="0" fillId="0" borderId="0" xfId="0"/>
    <xf numFmtId="0" fontId="31" fillId="9" borderId="36" xfId="0" applyFont="1" applyFill="1" applyBorder="1" applyAlignment="1">
      <alignment horizontal="center" vertical="center" wrapText="1"/>
    </xf>
    <xf numFmtId="0" fontId="37" fillId="0" borderId="36" xfId="0" applyFont="1" applyBorder="1" applyAlignment="1">
      <alignment vertical="top" wrapText="1"/>
    </xf>
    <xf numFmtId="164" fontId="38" fillId="0" borderId="36" xfId="0" applyNumberFormat="1" applyFont="1" applyBorder="1" applyAlignment="1">
      <alignment vertical="top"/>
    </xf>
    <xf numFmtId="0" fontId="38" fillId="0" borderId="36" xfId="0" applyFont="1" applyBorder="1" applyAlignment="1">
      <alignment horizontal="center" vertical="top"/>
    </xf>
    <xf numFmtId="0" fontId="37" fillId="0" borderId="36" xfId="0" applyFont="1" applyBorder="1" applyAlignment="1">
      <alignment horizontal="center" vertical="top"/>
    </xf>
    <xf numFmtId="9" fontId="38" fillId="0" borderId="36" xfId="0" applyNumberFormat="1" applyFont="1" applyBorder="1" applyAlignment="1">
      <alignment horizontal="center" vertical="top"/>
    </xf>
    <xf numFmtId="164" fontId="37" fillId="0" borderId="36" xfId="0" applyNumberFormat="1" applyFont="1" applyBorder="1" applyAlignment="1">
      <alignment vertical="top"/>
    </xf>
    <xf numFmtId="164" fontId="39" fillId="0" borderId="36" xfId="0" applyNumberFormat="1" applyFont="1" applyBorder="1"/>
    <xf numFmtId="164" fontId="38" fillId="0" borderId="36" xfId="0" applyNumberFormat="1" applyFont="1" applyBorder="1"/>
    <xf numFmtId="164" fontId="32" fillId="9" borderId="36" xfId="0" applyNumberFormat="1" applyFont="1" applyFill="1" applyBorder="1"/>
  </cellXfs>
  <cellStyles count="2">
    <cellStyle name="Lien hypertexte" xfId="1" builtinId="8"/>
    <cellStyle name="Normal" xfId="0" builtinId="0"/>
  </cellStyles>
  <dxfs count="19">
    <dxf>
      <font>
        <b/>
        <color rgb="FF9A4512"/>
        <name val="Arial"/>
        <charset val="1"/>
      </font>
      <fill>
        <patternFill>
          <bgColor rgb="FFF7EBDF"/>
        </patternFill>
      </fill>
    </dxf>
    <dxf>
      <font>
        <color rgb="FF666666"/>
        <name val="Arial"/>
        <charset val="1"/>
      </font>
      <fill>
        <patternFill>
          <bgColor rgb="FFE8E8E8"/>
        </patternFill>
      </fill>
    </dxf>
    <dxf>
      <font>
        <b/>
        <color rgb="FF7A5A12"/>
        <name val="Arial"/>
        <charset val="1"/>
      </font>
      <fill>
        <patternFill>
          <bgColor rgb="FFFBF3E3"/>
        </patternFill>
      </fill>
    </dxf>
    <dxf>
      <font>
        <b/>
        <color rgb="FF9A4512"/>
        <name val="Arial"/>
        <charset val="1"/>
      </font>
      <fill>
        <patternFill>
          <bgColor rgb="FFF7EBDF"/>
        </patternFill>
      </fill>
    </dxf>
    <dxf>
      <font>
        <b/>
        <color rgb="FF2E6B12"/>
        <name val="Arial"/>
        <charset val="1"/>
      </font>
      <fill>
        <patternFill>
          <bgColor rgb="FFEEF8E6"/>
        </patternFill>
      </fill>
    </dxf>
    <dxf>
      <font>
        <b/>
        <color rgb="FF9A4512"/>
        <name val="Arial"/>
        <charset val="1"/>
      </font>
    </dxf>
    <dxf>
      <font>
        <b/>
        <color rgb="FF2E6B12"/>
        <name val="Arial"/>
        <charset val="1"/>
      </font>
      <fill>
        <patternFill>
          <bgColor rgb="FFEEF8E6"/>
        </patternFill>
      </fill>
    </dxf>
    <dxf>
      <font>
        <b/>
        <color rgb="FF7A5A12"/>
        <name val="Arial"/>
        <charset val="1"/>
      </font>
      <fill>
        <patternFill>
          <bgColor rgb="FFFBF3E3"/>
        </patternFill>
      </fill>
    </dxf>
    <dxf>
      <font>
        <b/>
        <color rgb="FF9A4512"/>
        <name val="Arial"/>
        <charset val="1"/>
      </font>
      <fill>
        <patternFill>
          <bgColor rgb="FFF7EBDF"/>
        </patternFill>
      </fill>
    </dxf>
    <dxf>
      <font>
        <b/>
        <color rgb="FFFFFFFF"/>
        <name val="Arial"/>
        <charset val="1"/>
      </font>
      <fill>
        <patternFill>
          <bgColor rgb="FFC9452A"/>
        </patternFill>
      </fill>
    </dxf>
    <dxf>
      <font>
        <b/>
        <color rgb="FF9A4512"/>
        <name val="Arial"/>
        <charset val="1"/>
      </font>
    </dxf>
    <dxf>
      <font>
        <b/>
        <color rgb="FF7A5A12"/>
        <name val="Arial"/>
        <charset val="1"/>
      </font>
      <fill>
        <patternFill>
          <bgColor rgb="FFFBF3E3"/>
        </patternFill>
      </fill>
    </dxf>
    <dxf>
      <font>
        <b/>
        <color rgb="FF9A4512"/>
        <name val="Arial"/>
        <charset val="1"/>
      </font>
      <fill>
        <patternFill>
          <bgColor rgb="FFF7EBDF"/>
        </patternFill>
      </fill>
    </dxf>
    <dxf>
      <font>
        <b/>
        <color rgb="FF2E6B12"/>
        <name val="Arial"/>
        <charset val="1"/>
      </font>
      <fill>
        <patternFill>
          <bgColor rgb="FFEEF8E6"/>
        </patternFill>
      </fill>
    </dxf>
    <dxf>
      <font>
        <b/>
        <color rgb="FF2E6B12"/>
        <name val="Arial"/>
        <charset val="1"/>
      </font>
      <fill>
        <patternFill>
          <bgColor rgb="FFEEF8E6"/>
        </patternFill>
      </fill>
    </dxf>
    <dxf>
      <font>
        <b/>
        <color rgb="FF7A5A12"/>
        <name val="Arial"/>
        <charset val="1"/>
      </font>
      <fill>
        <patternFill>
          <bgColor rgb="FFFBF3E3"/>
        </patternFill>
      </fill>
    </dxf>
    <dxf>
      <font>
        <b/>
        <color rgb="FF9A4512"/>
        <name val="Arial"/>
        <charset val="1"/>
      </font>
      <fill>
        <patternFill>
          <bgColor rgb="FFF7EBDF"/>
        </patternFill>
      </fill>
    </dxf>
    <dxf>
      <font>
        <b/>
        <color rgb="FFFFFFFF"/>
        <name val="Arial"/>
        <charset val="1"/>
      </font>
      <fill>
        <patternFill>
          <bgColor rgb="FFC9452A"/>
        </patternFill>
      </fill>
    </dxf>
    <dxf>
      <font>
        <b/>
        <color rgb="FFC9452A"/>
        <name val="Arial"/>
        <charset val="1"/>
      </font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2E6B12"/>
      <rgbColor rgb="FF000080"/>
      <rgbColor rgb="FF7A5A12"/>
      <rgbColor rgb="FF800080"/>
      <rgbColor rgb="FF008080"/>
      <rgbColor rgb="FFC6E8B0"/>
      <rgbColor rgb="FF808080"/>
      <rgbColor rgb="FF9999FF"/>
      <rgbColor rgb="FFC9452A"/>
      <rgbColor rgb="FFFFF6C7"/>
      <rgbColor rgb="FFEEF8E6"/>
      <rgbColor rgb="FF660066"/>
      <rgbColor rgb="FFFF8080"/>
      <rgbColor rgb="FF0066CC"/>
      <rgbColor rgb="FFD9DCC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4F4EF"/>
      <rgbColor rgb="FFD8EFC8"/>
      <rgbColor rgb="FFFBF3E3"/>
      <rgbColor rgb="FFE8E8E8"/>
      <rgbColor rgb="FFFF99CC"/>
      <rgbColor rgb="FFCC99FF"/>
      <rgbColor rgb="FFF7EBDF"/>
      <rgbColor rgb="FF3366FF"/>
      <rgbColor rgb="FF33CCCC"/>
      <rgbColor rgb="FF92D050"/>
      <rgbColor rgb="FFFFCC00"/>
      <rgbColor rgb="FFFF9900"/>
      <rgbColor rgb="FFFF6600"/>
      <rgbColor rgb="FF666666"/>
      <rgbColor rgb="FF969696"/>
      <rgbColor rgb="FF003366"/>
      <rgbColor rgb="FF339966"/>
      <rgbColor rgb="FF142B08"/>
      <rgbColor rgb="FF4D5340"/>
      <rgbColor rgb="FF9A4512"/>
      <rgbColor rgb="FF993366"/>
      <rgbColor rgb="FF1F3FBF"/>
      <rgbColor rgb="FF23281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mailto:bziega@neuronestech.com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  <pageSetUpPr fitToPage="1"/>
  </sheetPr>
  <dimension ref="A1:H43"/>
  <sheetViews>
    <sheetView showGridLines="0" topLeftCell="A10" zoomScaleNormal="100" workbookViewId="0">
      <selection activeCell="B15" sqref="B15"/>
    </sheetView>
  </sheetViews>
  <sheetFormatPr baseColWidth="10" defaultColWidth="8.6640625" defaultRowHeight="14.4" x14ac:dyDescent="0.3"/>
  <cols>
    <col min="1" max="1" width="26" customWidth="1"/>
    <col min="2" max="2" width="32" customWidth="1"/>
    <col min="3" max="5" width="18" customWidth="1"/>
    <col min="6" max="6" width="16" customWidth="1"/>
    <col min="7" max="7" width="20" customWidth="1"/>
    <col min="8" max="8" width="26" customWidth="1"/>
  </cols>
  <sheetData>
    <row r="1" spans="1:8" ht="33.75" customHeight="1" x14ac:dyDescent="0.3">
      <c r="A1" s="67" t="s">
        <v>0</v>
      </c>
      <c r="B1" s="67"/>
      <c r="C1" s="67"/>
      <c r="D1" s="67"/>
      <c r="E1" s="67"/>
      <c r="F1" s="67"/>
      <c r="G1" s="67"/>
      <c r="H1" s="67"/>
    </row>
    <row r="2" spans="1:8" ht="25.5" customHeight="1" x14ac:dyDescent="0.3">
      <c r="A2" s="68" t="s">
        <v>1</v>
      </c>
      <c r="B2" s="68"/>
      <c r="C2" s="68"/>
      <c r="D2" s="68"/>
      <c r="E2" s="68"/>
      <c r="F2" s="68"/>
      <c r="G2" s="68"/>
      <c r="H2" s="68"/>
    </row>
    <row r="4" spans="1:8" ht="25.5" customHeight="1" x14ac:dyDescent="0.3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</row>
    <row r="5" spans="1:8" ht="30" customHeight="1" x14ac:dyDescent="0.3">
      <c r="A5" s="3">
        <f>SUM(Pipeline!$G$5:$G$32)</f>
        <v>299743360</v>
      </c>
      <c r="B5" s="3">
        <f>SUM(Pipeline!$H$5:$H$32)</f>
        <v>295243360</v>
      </c>
      <c r="C5" s="4">
        <f>SUM(Pipeline!$I$5:$I$32)</f>
        <v>4500000</v>
      </c>
      <c r="D5" s="5">
        <f>IF(SUM(Pipeline!$G$5:$G$32)=0,"",SUM(Pipeline!$H$5:$H$32)/SUM(Pipeline!$G$5:$G$32))</f>
        <v>0.9849871570132529</v>
      </c>
      <c r="E5" s="6">
        <f>COUNTIF(Pipeline!$K$5:$K$32,"Attente*")+COUNTIF(Pipeline!$K$5:$K$32,"Offre*")+COUNTIF(Pipeline!$K$5:$K$32,"Prospection")</f>
        <v>2</v>
      </c>
    </row>
    <row r="7" spans="1:8" ht="30" customHeight="1" x14ac:dyDescent="0.3">
      <c r="A7" s="66" t="s">
        <v>7</v>
      </c>
      <c r="B7" s="66"/>
      <c r="C7" s="66"/>
      <c r="D7" s="66"/>
      <c r="E7" s="66"/>
      <c r="F7" s="66"/>
      <c r="G7" s="66"/>
      <c r="H7" s="66"/>
    </row>
    <row r="8" spans="1:8" ht="25.5" customHeight="1" x14ac:dyDescent="0.3">
      <c r="A8" s="2" t="s">
        <v>8</v>
      </c>
      <c r="B8" s="2" t="s">
        <v>9</v>
      </c>
      <c r="C8" s="2" t="s">
        <v>10</v>
      </c>
      <c r="D8" s="2" t="s">
        <v>11</v>
      </c>
      <c r="E8" s="2" t="s">
        <v>12</v>
      </c>
    </row>
    <row r="9" spans="1:8" ht="30" customHeight="1" x14ac:dyDescent="0.3">
      <c r="A9" s="3">
        <f>SUM(Renouvellements!$E$5:$E$18)</f>
        <v>143648024</v>
      </c>
      <c r="B9" s="7">
        <f ca="1">SUMIF(Renouvellements!$K$5:$K$18,"Échu*",Renouvellements!$E$5:$E$18)</f>
        <v>28961849</v>
      </c>
      <c r="C9" s="8">
        <f ca="1">COUNTIF(Renouvellements!$K$5:$K$18,"Échu*")</f>
        <v>2</v>
      </c>
      <c r="D9" s="3">
        <f ca="1">SUMIFS(Renouvellements!$E$5:$E$18,Renouvellements!$G$5:$G$18,"&gt;="&amp;TODAY(),Renouvellements!$G$5:$G$18,"&lt;="&amp;EDATE(TODAY(),12))</f>
        <v>96686175</v>
      </c>
      <c r="E9" s="6">
        <f ca="1">COUNTIF(Renouvellements!$K$5:$K$18,"À relancer*")</f>
        <v>0</v>
      </c>
    </row>
    <row r="11" spans="1:8" ht="31.5" customHeight="1" x14ac:dyDescent="0.3">
      <c r="A11" s="9" t="s">
        <v>13</v>
      </c>
      <c r="B11" s="9" t="s">
        <v>14</v>
      </c>
      <c r="C11" s="9" t="s">
        <v>15</v>
      </c>
      <c r="D11" s="9" t="s">
        <v>16</v>
      </c>
      <c r="E11" s="9" t="s">
        <v>17</v>
      </c>
      <c r="F11" s="9" t="s">
        <v>18</v>
      </c>
      <c r="G11" s="9" t="s">
        <v>19</v>
      </c>
      <c r="H11" s="9" t="s">
        <v>20</v>
      </c>
    </row>
    <row r="12" spans="1:8" ht="30" customHeight="1" x14ac:dyDescent="0.3">
      <c r="A12" s="10" t="str">
        <f>Renouvellements!B5</f>
        <v>CNPS</v>
      </c>
      <c r="B12" s="11" t="str">
        <f>Renouvellements!C5</f>
        <v>Licences ManageEngine</v>
      </c>
      <c r="C12" s="12">
        <f>IF(ISNUMBER(Renouvellements!D5),Renouvellements!D5,"N/A")</f>
        <v>45698</v>
      </c>
      <c r="D12" s="13">
        <f>Renouvellements!E5</f>
        <v>21578849</v>
      </c>
      <c r="E12" s="14">
        <f>IF(ISNUMBER(Renouvellements!G5),Renouvellements!G5,"À confirmer")</f>
        <v>46063</v>
      </c>
      <c r="F12" s="15">
        <f ca="1">IF(ISNUMBER(Renouvellements!H5),Renouvellements!H5,"")</f>
        <v>-251</v>
      </c>
      <c r="G12" s="16" t="str">
        <f ca="1">Renouvellements!K5</f>
        <v>Échu - urgent</v>
      </c>
      <c r="H12" s="17" t="str">
        <f>IF(Renouvellements!L5="","",Renouvellements!L5)</f>
        <v>Offre envoyée</v>
      </c>
    </row>
    <row r="13" spans="1:8" ht="30" customHeight="1" x14ac:dyDescent="0.3">
      <c r="A13" s="10" t="str">
        <f>Renouvellements!B6</f>
        <v>NEURONES</v>
      </c>
      <c r="B13" s="11" t="str">
        <f>Renouvellements!C6</f>
        <v>Licence WithSecure</v>
      </c>
      <c r="C13" s="12">
        <f>IF(ISNUMBER(Renouvellements!D6),Renouvellements!D6,"N/A")</f>
        <v>45890</v>
      </c>
      <c r="D13" s="13">
        <f>Renouvellements!E6</f>
        <v>7383000</v>
      </c>
      <c r="E13" s="14">
        <f>IF(ISNUMBER(Renouvellements!G6),Renouvellements!G6,"À confirmer")</f>
        <v>46255</v>
      </c>
      <c r="F13" s="15">
        <f ca="1">IF(ISNUMBER(Renouvellements!H6),Renouvellements!H6,"")</f>
        <v>-59</v>
      </c>
      <c r="G13" s="16" t="str">
        <f ca="1">Renouvellements!K6</f>
        <v>Échu - urgent</v>
      </c>
      <c r="H13" s="17" t="str">
        <f>IF(Renouvellements!L6="","",Renouvellements!L6)</f>
        <v>Attente cotation fournisseur</v>
      </c>
    </row>
    <row r="14" spans="1:8" ht="30" customHeight="1" x14ac:dyDescent="0.3">
      <c r="A14" s="10" t="str">
        <f>Renouvellements!B7</f>
        <v>CNAM</v>
      </c>
      <c r="B14" s="11" t="str">
        <f>Renouvellements!C7</f>
        <v>Licences ManageEngine</v>
      </c>
      <c r="C14" s="12">
        <f>IF(ISNUMBER(Renouvellements!D7),Renouvellements!D7,"N/A")</f>
        <v>46080</v>
      </c>
      <c r="D14" s="13">
        <f>Renouvellements!E7</f>
        <v>66309707</v>
      </c>
      <c r="E14" s="14">
        <f>IF(ISNUMBER(Renouvellements!G7),Renouvellements!G7,"À confirmer")</f>
        <v>46445</v>
      </c>
      <c r="F14" s="15">
        <f ca="1">IF(ISNUMBER(Renouvellements!H7),Renouvellements!H7,"")</f>
        <v>131</v>
      </c>
      <c r="G14" s="16" t="str">
        <f ca="1">Renouvellements!K7</f>
        <v>À venir</v>
      </c>
      <c r="H14" s="17" t="str">
        <f>IF(Renouvellements!L7="","",Renouvellements!L7)</f>
        <v>Non démarré</v>
      </c>
    </row>
    <row r="15" spans="1:8" ht="30" customHeight="1" x14ac:dyDescent="0.3">
      <c r="A15" s="10" t="str">
        <f>Renouvellements!B8</f>
        <v>FER</v>
      </c>
      <c r="B15" s="11" t="str">
        <f>Renouvellements!C8</f>
        <v>Licences ManageEngine</v>
      </c>
      <c r="C15" s="12">
        <f>IF(ISNUMBER(Renouvellements!D8),Renouvellements!D8,"N/A")</f>
        <v>46197</v>
      </c>
      <c r="D15" s="13">
        <f>Renouvellements!E8</f>
        <v>28766400</v>
      </c>
      <c r="E15" s="14">
        <f>IF(ISNUMBER(Renouvellements!G8),Renouvellements!G8,"À confirmer")</f>
        <v>46562</v>
      </c>
      <c r="F15" s="15">
        <f ca="1">IF(ISNUMBER(Renouvellements!H8),Renouvellements!H8,"")</f>
        <v>248</v>
      </c>
      <c r="G15" s="16" t="str">
        <f ca="1">Renouvellements!K8</f>
        <v>À venir</v>
      </c>
      <c r="H15" s="17" t="str">
        <f>IF(Renouvellements!L8="","",Renouvellements!L8)</f>
        <v>Non démarré</v>
      </c>
    </row>
    <row r="16" spans="1:8" ht="30" customHeight="1" x14ac:dyDescent="0.3">
      <c r="A16" s="10" t="str">
        <f>Renouvellements!B9</f>
        <v>NSIA</v>
      </c>
      <c r="B16" s="11" t="str">
        <f>Renouvellements!C9</f>
        <v>Licences ManageEngine</v>
      </c>
      <c r="C16" s="12">
        <f>IF(ISNUMBER(Renouvellements!D9),Renouvellements!D9,"N/A")</f>
        <v>46283</v>
      </c>
      <c r="D16" s="13">
        <f>Renouvellements!E9</f>
        <v>1610068</v>
      </c>
      <c r="E16" s="14">
        <f>IF(ISNUMBER(Renouvellements!G9),Renouvellements!G9,"À confirmer")</f>
        <v>46648</v>
      </c>
      <c r="F16" s="15">
        <f ca="1">IF(ISNUMBER(Renouvellements!H9),Renouvellements!H9,"")</f>
        <v>334</v>
      </c>
      <c r="G16" s="16" t="str">
        <f ca="1">Renouvellements!K9</f>
        <v>À venir</v>
      </c>
      <c r="H16" s="17" t="str">
        <f>IF(Renouvellements!L9="","",Renouvellements!L9)</f>
        <v>Non démarré</v>
      </c>
    </row>
    <row r="17" spans="1:8" ht="30" customHeight="1" x14ac:dyDescent="0.3">
      <c r="A17" s="10" t="str">
        <f>Renouvellements!B10</f>
        <v>CNAM</v>
      </c>
      <c r="B17" s="11" t="str">
        <f>Renouvellements!C10</f>
        <v>Contrat de maintenance ManageEngine</v>
      </c>
      <c r="C17" s="12" t="str">
        <f>IF(ISNUMBER(Renouvellements!D10),Renouvellements!D10,"N/A")</f>
        <v>N/A</v>
      </c>
      <c r="D17" s="13">
        <f>Renouvellements!E10</f>
        <v>18000000</v>
      </c>
      <c r="E17" s="14" t="str">
        <f>IF(ISNUMBER(Renouvellements!G10),Renouvellements!G10,"À confirmer")</f>
        <v>À confirmer</v>
      </c>
      <c r="F17" s="15" t="str">
        <f ca="1">IF(ISNUMBER(Renouvellements!H10),Renouvellements!H10,"")</f>
        <v/>
      </c>
      <c r="G17" s="16" t="str">
        <f ca="1">Renouvellements!K10</f>
        <v>Date à confirmer</v>
      </c>
      <c r="H17" s="17" t="str">
        <f>IF(Renouvellements!L10="","",Renouvellements!L10)</f>
        <v>Non démarré</v>
      </c>
    </row>
    <row r="19" spans="1:8" ht="30" customHeight="1" x14ac:dyDescent="0.3">
      <c r="A19" s="66" t="s">
        <v>21</v>
      </c>
      <c r="B19" s="66"/>
      <c r="C19" s="66"/>
      <c r="D19" s="66"/>
      <c r="E19" s="66"/>
      <c r="F19" s="66"/>
      <c r="G19" s="66"/>
      <c r="H19" s="66"/>
    </row>
    <row r="20" spans="1:8" ht="31.5" customHeight="1" x14ac:dyDescent="0.3">
      <c r="A20" s="9" t="s">
        <v>22</v>
      </c>
      <c r="B20" s="9" t="s">
        <v>23</v>
      </c>
      <c r="C20" s="9" t="s">
        <v>24</v>
      </c>
      <c r="D20" s="9" t="s">
        <v>25</v>
      </c>
      <c r="E20" s="9" t="s">
        <v>26</v>
      </c>
      <c r="F20" s="9" t="s">
        <v>5</v>
      </c>
      <c r="G20" s="9" t="s">
        <v>6</v>
      </c>
      <c r="H20" s="9" t="s">
        <v>27</v>
      </c>
    </row>
    <row r="21" spans="1:8" x14ac:dyDescent="0.3">
      <c r="A21" s="18">
        <v>2024</v>
      </c>
      <c r="B21" s="17">
        <f>COUNTIF(Pipeline!$B$5:$B$32,A21)</f>
        <v>2</v>
      </c>
      <c r="C21" s="13">
        <f>SUMIF(Pipeline!$B$5:$B$32,A21,Pipeline!$G$5:$G$32)</f>
        <v>70802690</v>
      </c>
      <c r="D21" s="13">
        <f>SUMIF(Pipeline!$B$5:$B$32,A21,Pipeline!$H$5:$H$32)</f>
        <v>70802690</v>
      </c>
      <c r="E21" s="13">
        <f>SUMIF(Pipeline!$B$5:$B$32,A21,Pipeline!$I$5:$I$32)</f>
        <v>0</v>
      </c>
      <c r="F21" s="19">
        <f>IF(C21=0,"",D21/C21)</f>
        <v>1</v>
      </c>
      <c r="G21" s="17">
        <f>COUNTIFS(Pipeline!$B$5:$B$32,A21,Pipeline!$K$5:$K$32,"Attente*")+COUNTIFS(Pipeline!$B$5:$B$32,A21,Pipeline!$K$5:$K$32,"Offre*")+COUNTIFS(Pipeline!$B$5:$B$32,A21,Pipeline!$K$5:$K$32,"Prospection")</f>
        <v>0</v>
      </c>
      <c r="H21" s="20"/>
    </row>
    <row r="22" spans="1:8" x14ac:dyDescent="0.3">
      <c r="A22" s="18">
        <v>2025</v>
      </c>
      <c r="B22" s="17">
        <f>COUNTIF(Pipeline!$B$5:$B$32,A22)</f>
        <v>5</v>
      </c>
      <c r="C22" s="13">
        <f>SUMIF(Pipeline!$B$5:$B$32,A22,Pipeline!$G$5:$G$32)</f>
        <v>114254495</v>
      </c>
      <c r="D22" s="13">
        <f>SUMIF(Pipeline!$B$5:$B$32,A22,Pipeline!$H$5:$H$32)</f>
        <v>114254495</v>
      </c>
      <c r="E22" s="13">
        <f>SUMIF(Pipeline!$B$5:$B$32,A22,Pipeline!$I$5:$I$32)</f>
        <v>0</v>
      </c>
      <c r="F22" s="19">
        <f>IF(C22=0,"",D22/C22)</f>
        <v>1</v>
      </c>
      <c r="G22" s="17">
        <f>COUNTIFS(Pipeline!$B$5:$B$32,A22,Pipeline!$K$5:$K$32,"Attente*")+COUNTIFS(Pipeline!$B$5:$B$32,A22,Pipeline!$K$5:$K$32,"Offre*")+COUNTIFS(Pipeline!$B$5:$B$32,A22,Pipeline!$K$5:$K$32,"Prospection")</f>
        <v>0</v>
      </c>
      <c r="H22" s="20">
        <f>IF(C21=0,"",C22/C21-1)</f>
        <v>0.6137027420850818</v>
      </c>
    </row>
    <row r="23" spans="1:8" x14ac:dyDescent="0.3">
      <c r="A23" s="18">
        <v>2026</v>
      </c>
      <c r="B23" s="17">
        <f>COUNTIF(Pipeline!$B$5:$B$32,A23)</f>
        <v>6</v>
      </c>
      <c r="C23" s="13">
        <f>SUMIF(Pipeline!$B$5:$B$32,A23,Pipeline!$G$5:$G$32)</f>
        <v>114686175</v>
      </c>
      <c r="D23" s="13">
        <f>SUMIF(Pipeline!$B$5:$B$32,A23,Pipeline!$H$5:$H$32)</f>
        <v>110186175</v>
      </c>
      <c r="E23" s="13">
        <f>SUMIF(Pipeline!$B$5:$B$32,A23,Pipeline!$I$5:$I$32)</f>
        <v>4500000</v>
      </c>
      <c r="F23" s="19">
        <f>IF(C23=0,"",D23/C23)</f>
        <v>0.96076248946309351</v>
      </c>
      <c r="G23" s="17">
        <f>COUNTIFS(Pipeline!$B$5:$B$32,A23,Pipeline!$K$5:$K$32,"Attente*")+COUNTIFS(Pipeline!$B$5:$B$32,A23,Pipeline!$K$5:$K$32,"Offre*")+COUNTIFS(Pipeline!$B$5:$B$32,A23,Pipeline!$K$5:$K$32,"Prospection")</f>
        <v>2</v>
      </c>
      <c r="H23" s="20">
        <f>IF(C22=0,"",C23/C22-1)</f>
        <v>3.7782320949386605E-3</v>
      </c>
    </row>
    <row r="24" spans="1:8" x14ac:dyDescent="0.3">
      <c r="A24" s="21" t="s">
        <v>28</v>
      </c>
      <c r="B24" s="22">
        <f>SUM(B21:B23)</f>
        <v>13</v>
      </c>
      <c r="C24" s="23">
        <f>SUM(C21:C23)</f>
        <v>299743360</v>
      </c>
      <c r="D24" s="23">
        <f>SUM(D21:D23)</f>
        <v>295243360</v>
      </c>
      <c r="E24" s="23">
        <f>SUM(E21:E23)</f>
        <v>4500000</v>
      </c>
      <c r="F24" s="24">
        <f>IF(C24=0,"",D24/C24)</f>
        <v>0.9849871570132529</v>
      </c>
      <c r="G24" s="22">
        <f>SUM(G21:G23)</f>
        <v>2</v>
      </c>
      <c r="H24" s="25"/>
    </row>
    <row r="26" spans="1:8" ht="30" customHeight="1" x14ac:dyDescent="0.3">
      <c r="A26" s="66" t="s">
        <v>29</v>
      </c>
      <c r="B26" s="66"/>
      <c r="C26" s="66"/>
      <c r="D26" s="66"/>
      <c r="E26" s="66"/>
      <c r="F26" s="66"/>
      <c r="G26" s="66"/>
      <c r="H26" s="66"/>
    </row>
    <row r="27" spans="1:8" ht="31.5" customHeight="1" x14ac:dyDescent="0.3">
      <c r="A27" s="9" t="s">
        <v>13</v>
      </c>
      <c r="B27" s="9" t="s">
        <v>30</v>
      </c>
      <c r="C27" s="9" t="s">
        <v>31</v>
      </c>
      <c r="D27" s="9" t="s">
        <v>32</v>
      </c>
      <c r="E27" s="9" t="s">
        <v>33</v>
      </c>
      <c r="F27" s="9" t="s">
        <v>26</v>
      </c>
      <c r="G27" s="9" t="s">
        <v>34</v>
      </c>
      <c r="H27" s="26"/>
    </row>
    <row r="28" spans="1:8" x14ac:dyDescent="0.3">
      <c r="A28" s="10" t="s">
        <v>35</v>
      </c>
      <c r="B28" s="13">
        <f>SUMIFS(Pipeline!$G$5:$G$32,Pipeline!$C$5:$C$32,$A28,Pipeline!$B$5:$B$32,2024)</f>
        <v>69799690</v>
      </c>
      <c r="C28" s="13">
        <f>SUMIFS(Pipeline!$G$5:$G$32,Pipeline!$C$5:$C$32,$A28,Pipeline!$B$5:$B$32,2025)</f>
        <v>84309706</v>
      </c>
      <c r="D28" s="13">
        <f>SUMIFS(Pipeline!$G$5:$G$32,Pipeline!$C$5:$C$32,$A28,Pipeline!$B$5:$B$32,2026)</f>
        <v>84309707</v>
      </c>
      <c r="E28" s="27">
        <f>SUM(B28:D28)</f>
        <v>238419103</v>
      </c>
      <c r="F28" s="13">
        <f>SUMIF(Pipeline!$C$5:$C$32,A28,Pipeline!$I$5:$I$32)</f>
        <v>4500000</v>
      </c>
      <c r="G28" s="16" t="str">
        <f>IF(COUNTIFS(Pipeline!$C$5:$C$32,A28,Pipeline!$B$5:$B$32,2026,Pipeline!$K$5:$K$32,"Attente*")+COUNTIFS(Pipeline!$C$5:$C$32,A28,Pipeline!$B$5:$B$32,2026,Pipeline!$K$5:$K$32,"Offre*")&gt;0,"En attente",IF(SUMIFS(Pipeline!$I$5:$I$32,Pipeline!$C$5:$C$32,A28,Pipeline!$B$5:$B$32,2026)&gt;0,"Solde à encaisser",IF(D28&gt;0,"Renouvelé","Non renouvelé")))</f>
        <v>Solde à encaisser</v>
      </c>
    </row>
    <row r="29" spans="1:8" x14ac:dyDescent="0.3">
      <c r="A29" s="10" t="s">
        <v>36</v>
      </c>
      <c r="B29" s="13">
        <f>SUMIFS(Pipeline!$G$5:$G$32,Pipeline!$C$5:$C$32,$A29,Pipeline!$B$5:$B$32,2024)</f>
        <v>0</v>
      </c>
      <c r="C29" s="13">
        <f>SUMIFS(Pipeline!$G$5:$G$32,Pipeline!$C$5:$C$32,$A29,Pipeline!$B$5:$B$32,2025)</f>
        <v>21578849</v>
      </c>
      <c r="D29" s="13">
        <f>SUMIFS(Pipeline!$G$5:$G$32,Pipeline!$C$5:$C$32,$A29,Pipeline!$B$5:$B$32,2026)</f>
        <v>0</v>
      </c>
      <c r="E29" s="27">
        <f>SUM(B29:D29)</f>
        <v>21578849</v>
      </c>
      <c r="F29" s="13">
        <f>SUMIF(Pipeline!$C$5:$C$32,A29,Pipeline!$I$5:$I$32)</f>
        <v>0</v>
      </c>
      <c r="G29" s="16" t="str">
        <f>IF(COUNTIFS(Pipeline!$C$5:$C$32,A29,Pipeline!$B$5:$B$32,2026,Pipeline!$K$5:$K$32,"Attente*")+COUNTIFS(Pipeline!$C$5:$C$32,A29,Pipeline!$B$5:$B$32,2026,Pipeline!$K$5:$K$32,"Offre*")&gt;0,"En attente",IF(SUMIFS(Pipeline!$I$5:$I$32,Pipeline!$C$5:$C$32,A29,Pipeline!$B$5:$B$32,2026)&gt;0,"Solde à encaisser",IF(D29&gt;0,"Renouvelé","Non renouvelé")))</f>
        <v>En attente</v>
      </c>
    </row>
    <row r="30" spans="1:8" x14ac:dyDescent="0.3">
      <c r="A30" s="10" t="s">
        <v>37</v>
      </c>
      <c r="B30" s="13">
        <f>SUMIFS(Pipeline!$G$5:$G$32,Pipeline!$C$5:$C$32,$A30,Pipeline!$B$5:$B$32,2024)</f>
        <v>0</v>
      </c>
      <c r="C30" s="13">
        <f>SUMIFS(Pipeline!$G$5:$G$32,Pipeline!$C$5:$C$32,$A30,Pipeline!$B$5:$B$32,2025)</f>
        <v>0</v>
      </c>
      <c r="D30" s="13">
        <f>SUMIFS(Pipeline!$G$5:$G$32,Pipeline!$C$5:$C$32,$A30,Pipeline!$B$5:$B$32,2026)</f>
        <v>28766400</v>
      </c>
      <c r="E30" s="27">
        <f>SUM(B30:D30)</f>
        <v>28766400</v>
      </c>
      <c r="F30" s="13">
        <f>SUMIF(Pipeline!$C$5:$C$32,A30,Pipeline!$I$5:$I$32)</f>
        <v>0</v>
      </c>
      <c r="G30" s="16" t="str">
        <f>IF(COUNTIFS(Pipeline!$C$5:$C$32,A30,Pipeline!$B$5:$B$32,2026,Pipeline!$K$5:$K$32,"Attente*")+COUNTIFS(Pipeline!$C$5:$C$32,A30,Pipeline!$B$5:$B$32,2026,Pipeline!$K$5:$K$32,"Offre*")&gt;0,"En attente",IF(SUMIFS(Pipeline!$I$5:$I$32,Pipeline!$C$5:$C$32,A30,Pipeline!$B$5:$B$32,2026)&gt;0,"Solde à encaisser",IF(D30&gt;0,"Renouvelé","Non renouvelé")))</f>
        <v>Renouvelé</v>
      </c>
    </row>
    <row r="31" spans="1:8" x14ac:dyDescent="0.3">
      <c r="A31" s="10" t="s">
        <v>38</v>
      </c>
      <c r="B31" s="13">
        <f>SUMIFS(Pipeline!$G$5:$G$32,Pipeline!$C$5:$C$32,$A31,Pipeline!$B$5:$B$32,2024)</f>
        <v>0</v>
      </c>
      <c r="C31" s="13">
        <f>SUMIFS(Pipeline!$G$5:$G$32,Pipeline!$C$5:$C$32,$A31,Pipeline!$B$5:$B$32,2025)</f>
        <v>7383000</v>
      </c>
      <c r="D31" s="13">
        <f>SUMIFS(Pipeline!$G$5:$G$32,Pipeline!$C$5:$C$32,$A31,Pipeline!$B$5:$B$32,2026)</f>
        <v>0</v>
      </c>
      <c r="E31" s="27">
        <f>SUM(B31:D31)</f>
        <v>7383000</v>
      </c>
      <c r="F31" s="13">
        <f>SUMIF(Pipeline!$C$5:$C$32,A31,Pipeline!$I$5:$I$32)</f>
        <v>0</v>
      </c>
      <c r="G31" s="16" t="str">
        <f>IF(COUNTIFS(Pipeline!$C$5:$C$32,A31,Pipeline!$B$5:$B$32,2026,Pipeline!$K$5:$K$32,"Attente*")+COUNTIFS(Pipeline!$C$5:$C$32,A31,Pipeline!$B$5:$B$32,2026,Pipeline!$K$5:$K$32,"Offre*")&gt;0,"En attente",IF(SUMIFS(Pipeline!$I$5:$I$32,Pipeline!$C$5:$C$32,A31,Pipeline!$B$5:$B$32,2026)&gt;0,"Solde à encaisser",IF(D31&gt;0,"Renouvelé","Non renouvelé")))</f>
        <v>En attente</v>
      </c>
    </row>
    <row r="32" spans="1:8" x14ac:dyDescent="0.3">
      <c r="A32" s="10" t="s">
        <v>39</v>
      </c>
      <c r="B32" s="13">
        <f>SUMIFS(Pipeline!$G$5:$G$32,Pipeline!$C$5:$C$32,$A32,Pipeline!$B$5:$B$32,2024)</f>
        <v>1003000</v>
      </c>
      <c r="C32" s="13">
        <f>SUMIFS(Pipeline!$G$5:$G$32,Pipeline!$C$5:$C$32,$A32,Pipeline!$B$5:$B$32,2025)</f>
        <v>982940</v>
      </c>
      <c r="D32" s="13">
        <f>SUMIFS(Pipeline!$G$5:$G$32,Pipeline!$C$5:$C$32,$A32,Pipeline!$B$5:$B$32,2026)</f>
        <v>1610068</v>
      </c>
      <c r="E32" s="27">
        <f>SUM(B32:D32)</f>
        <v>3596008</v>
      </c>
      <c r="F32" s="13">
        <f>SUMIF(Pipeline!$C$5:$C$32,A32,Pipeline!$I$5:$I$32)</f>
        <v>0</v>
      </c>
      <c r="G32" s="16" t="str">
        <f>IF(COUNTIFS(Pipeline!$C$5:$C$32,A32,Pipeline!$B$5:$B$32,2026,Pipeline!$K$5:$K$32,"Attente*")+COUNTIFS(Pipeline!$C$5:$C$32,A32,Pipeline!$B$5:$B$32,2026,Pipeline!$K$5:$K$32,"Offre*")&gt;0,"En attente",IF(SUMIFS(Pipeline!$I$5:$I$32,Pipeline!$C$5:$C$32,A32,Pipeline!$B$5:$B$32,2026)&gt;0,"Solde à encaisser",IF(D32&gt;0,"Renouvelé","Non renouvelé")))</f>
        <v>Renouvelé</v>
      </c>
    </row>
    <row r="33" spans="1:8" x14ac:dyDescent="0.3">
      <c r="A33" s="1" t="s">
        <v>28</v>
      </c>
      <c r="B33" s="23">
        <f>SUM(B28:B32)</f>
        <v>70802690</v>
      </c>
      <c r="C33" s="23">
        <f>SUM(C28:C32)</f>
        <v>114254495</v>
      </c>
      <c r="D33" s="23">
        <f>SUM(D28:D32)</f>
        <v>114686175</v>
      </c>
      <c r="E33" s="23">
        <f>SUM(E28:E32)</f>
        <v>299743360</v>
      </c>
      <c r="F33" s="23">
        <f>SUM(F28:F32)</f>
        <v>4500000</v>
      </c>
      <c r="G33" s="25"/>
    </row>
    <row r="35" spans="1:8" ht="30" customHeight="1" x14ac:dyDescent="0.3">
      <c r="A35" s="66" t="s">
        <v>40</v>
      </c>
      <c r="B35" s="66"/>
      <c r="C35" s="66"/>
      <c r="D35" s="66"/>
      <c r="E35" s="66"/>
      <c r="F35" s="66"/>
      <c r="G35" s="66"/>
      <c r="H35" s="66"/>
    </row>
    <row r="36" spans="1:8" ht="31.5" customHeight="1" x14ac:dyDescent="0.3">
      <c r="A36" s="9" t="s">
        <v>41</v>
      </c>
      <c r="B36" s="9" t="s">
        <v>23</v>
      </c>
      <c r="C36" s="9" t="s">
        <v>42</v>
      </c>
      <c r="D36" s="9" t="s">
        <v>26</v>
      </c>
      <c r="E36" s="26"/>
      <c r="F36" s="26"/>
      <c r="G36" s="26"/>
      <c r="H36" s="26"/>
    </row>
    <row r="37" spans="1:8" x14ac:dyDescent="0.3">
      <c r="A37" s="10" t="str">
        <f>Listes!A2</f>
        <v>Prospection</v>
      </c>
      <c r="B37" s="17">
        <f>COUNTIF(Pipeline!$K$5:$K$32,A37)</f>
        <v>0</v>
      </c>
      <c r="C37" s="13">
        <f>SUMIF(Pipeline!$K$5:$K$32,A37,Pipeline!$G$5:$G$32)</f>
        <v>0</v>
      </c>
      <c r="D37" s="13">
        <f>SUMIF(Pipeline!$K$5:$K$32,A37,Pipeline!$I$5:$I$32)</f>
        <v>0</v>
      </c>
    </row>
    <row r="38" spans="1:8" x14ac:dyDescent="0.3">
      <c r="A38" s="10" t="str">
        <f>Listes!A3</f>
        <v>Attente cotation fournisseur</v>
      </c>
      <c r="B38" s="17">
        <f>COUNTIF(Pipeline!$K$5:$K$32,A38)</f>
        <v>1</v>
      </c>
      <c r="C38" s="13">
        <f>SUMIF(Pipeline!$K$5:$K$32,A38,Pipeline!$G$5:$G$32)</f>
        <v>0</v>
      </c>
      <c r="D38" s="13">
        <f>SUMIF(Pipeline!$K$5:$K$32,A38,Pipeline!$I$5:$I$32)</f>
        <v>0</v>
      </c>
    </row>
    <row r="39" spans="1:8" x14ac:dyDescent="0.3">
      <c r="A39" s="10" t="str">
        <f>Listes!A4</f>
        <v>Offre envoyée - attente client</v>
      </c>
      <c r="B39" s="17">
        <f>COUNTIF(Pipeline!$K$5:$K$32,A39)</f>
        <v>1</v>
      </c>
      <c r="C39" s="13">
        <f>SUMIF(Pipeline!$K$5:$K$32,A39,Pipeline!$G$5:$G$32)</f>
        <v>0</v>
      </c>
      <c r="D39" s="13">
        <f>SUMIF(Pipeline!$K$5:$K$32,A39,Pipeline!$I$5:$I$32)</f>
        <v>0</v>
      </c>
    </row>
    <row r="40" spans="1:8" x14ac:dyDescent="0.3">
      <c r="A40" s="10" t="str">
        <f>Listes!A5</f>
        <v>Facturé - non encaissé</v>
      </c>
      <c r="B40" s="17">
        <f>COUNTIF(Pipeline!$K$5:$K$32,A40)</f>
        <v>0</v>
      </c>
      <c r="C40" s="13">
        <f>SUMIF(Pipeline!$K$5:$K$32,A40,Pipeline!$G$5:$G$32)</f>
        <v>0</v>
      </c>
      <c r="D40" s="13">
        <f>SUMIF(Pipeline!$K$5:$K$32,A40,Pipeline!$I$5:$I$32)</f>
        <v>0</v>
      </c>
    </row>
    <row r="41" spans="1:8" x14ac:dyDescent="0.3">
      <c r="A41" s="10" t="str">
        <f>Listes!A6</f>
        <v>Encaissement partiel</v>
      </c>
      <c r="B41" s="17">
        <f>COUNTIF(Pipeline!$K$5:$K$32,A41)</f>
        <v>1</v>
      </c>
      <c r="C41" s="13">
        <f>SUMIF(Pipeline!$K$5:$K$32,A41,Pipeline!$G$5:$G$32)</f>
        <v>18000000</v>
      </c>
      <c r="D41" s="13">
        <f>SUMIF(Pipeline!$K$5:$K$32,A41,Pipeline!$I$5:$I$32)</f>
        <v>4500000</v>
      </c>
    </row>
    <row r="42" spans="1:8" x14ac:dyDescent="0.3">
      <c r="A42" s="10" t="str">
        <f>Listes!A7</f>
        <v>Soldé</v>
      </c>
      <c r="B42" s="17">
        <f>COUNTIF(Pipeline!$K$5:$K$32,A42)</f>
        <v>10</v>
      </c>
      <c r="C42" s="13">
        <f>SUMIF(Pipeline!$K$5:$K$32,A42,Pipeline!$G$5:$G$32)</f>
        <v>281743360</v>
      </c>
      <c r="D42" s="13">
        <f>SUMIF(Pipeline!$K$5:$K$32,A42,Pipeline!$I$5:$I$32)</f>
        <v>0</v>
      </c>
    </row>
    <row r="43" spans="1:8" x14ac:dyDescent="0.3">
      <c r="A43" s="10" t="str">
        <f>Listes!A8</f>
        <v>Perdu</v>
      </c>
      <c r="B43" s="17">
        <f>COUNTIF(Pipeline!$K$5:$K$32,A43)</f>
        <v>0</v>
      </c>
      <c r="C43" s="13">
        <f>SUMIF(Pipeline!$K$5:$K$32,A43,Pipeline!$G$5:$G$32)</f>
        <v>0</v>
      </c>
      <c r="D43" s="13">
        <f>SUMIF(Pipeline!$K$5:$K$32,A43,Pipeline!$I$5:$I$32)</f>
        <v>0</v>
      </c>
    </row>
  </sheetData>
  <mergeCells count="6">
    <mergeCell ref="A35:H35"/>
    <mergeCell ref="A1:H1"/>
    <mergeCell ref="A2:H2"/>
    <mergeCell ref="A7:H7"/>
    <mergeCell ref="A19:H19"/>
    <mergeCell ref="A26:H26"/>
  </mergeCells>
  <conditionalFormatting sqref="F12:F17">
    <cfRule type="expression" dxfId="18" priority="6">
      <formula>AND(ISNUMBER(F12),F12&lt;0)</formula>
    </cfRule>
  </conditionalFormatting>
  <conditionalFormatting sqref="G12:G17">
    <cfRule type="expression" dxfId="17" priority="2">
      <formula>LEFT(G12,4)="Échu"</formula>
    </cfRule>
    <cfRule type="expression" dxfId="16" priority="3">
      <formula>LEFT(G12,9)="À relancer"</formula>
    </cfRule>
    <cfRule type="expression" dxfId="15" priority="4">
      <formula>G12="Date à confirmer"</formula>
    </cfRule>
    <cfRule type="expression" dxfId="14" priority="5">
      <formula>G12="Renouvelé"</formula>
    </cfRule>
  </conditionalFormatting>
  <conditionalFormatting sqref="G28:G32">
    <cfRule type="expression" dxfId="13" priority="7">
      <formula>G28="Renouvelé"</formula>
    </cfRule>
    <cfRule type="expression" dxfId="12" priority="8">
      <formula>G28="Solde à encaisser"</formula>
    </cfRule>
    <cfRule type="expression" dxfId="11" priority="9">
      <formula>G28="En attente"</formula>
    </cfRule>
  </conditionalFormatting>
  <pageMargins left="0.75" right="0.75" top="1" bottom="1" header="0.511811023622047" footer="0.511811023622047"/>
  <pageSetup fitToHeight="0"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C9452A"/>
    <pageSetUpPr fitToPage="1"/>
  </sheetPr>
  <dimension ref="A1:P19"/>
  <sheetViews>
    <sheetView showGridLines="0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E7" sqref="E7"/>
    </sheetView>
  </sheetViews>
  <sheetFormatPr baseColWidth="10" defaultColWidth="8.6640625" defaultRowHeight="14.4" x14ac:dyDescent="0.3"/>
  <cols>
    <col min="1" max="1" width="5" customWidth="1"/>
    <col min="2" max="2" width="12.6640625" customWidth="1"/>
    <col min="3" max="3" width="26" customWidth="1"/>
    <col min="4" max="4" width="13" customWidth="1"/>
    <col min="5" max="5" width="16" customWidth="1"/>
    <col min="6" max="6" width="30" customWidth="1"/>
    <col min="7" max="7" width="13" customWidth="1"/>
    <col min="8" max="8" width="10" customWidth="1"/>
    <col min="9" max="10" width="12" customWidth="1"/>
    <col min="11" max="11" width="20" customWidth="1"/>
    <col min="12" max="12" width="22" customWidth="1"/>
    <col min="13" max="13" width="14" customWidth="1"/>
    <col min="14" max="14" width="13" customWidth="1"/>
    <col min="15" max="15" width="40" customWidth="1"/>
    <col min="16" max="16" width="44" customWidth="1"/>
  </cols>
  <sheetData>
    <row r="1" spans="1:16" ht="33.75" customHeight="1" x14ac:dyDescent="0.3">
      <c r="A1" s="67" t="s">
        <v>43</v>
      </c>
      <c r="B1" s="67"/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  <c r="N1" s="67"/>
      <c r="O1" s="67"/>
      <c r="P1" s="67"/>
    </row>
    <row r="2" spans="1:16" ht="25.5" customHeight="1" x14ac:dyDescent="0.3">
      <c r="A2" s="68" t="s">
        <v>44</v>
      </c>
      <c r="B2" s="68"/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</row>
    <row r="4" spans="1:16" ht="31.5" customHeight="1" x14ac:dyDescent="0.3">
      <c r="A4" s="9" t="s">
        <v>45</v>
      </c>
      <c r="B4" s="9" t="s">
        <v>13</v>
      </c>
      <c r="C4" s="9" t="s">
        <v>46</v>
      </c>
      <c r="D4" s="9" t="s">
        <v>15</v>
      </c>
      <c r="E4" s="9" t="s">
        <v>47</v>
      </c>
      <c r="F4" s="9" t="s">
        <v>48</v>
      </c>
      <c r="G4" s="9" t="s">
        <v>17</v>
      </c>
      <c r="H4" s="9" t="s">
        <v>18</v>
      </c>
      <c r="I4" s="9" t="s">
        <v>49</v>
      </c>
      <c r="J4" s="9" t="s">
        <v>50</v>
      </c>
      <c r="K4" s="9" t="s">
        <v>19</v>
      </c>
      <c r="L4" s="9" t="s">
        <v>20</v>
      </c>
      <c r="M4" s="9" t="s">
        <v>51</v>
      </c>
      <c r="N4" s="9" t="s">
        <v>52</v>
      </c>
      <c r="O4" s="9" t="s">
        <v>53</v>
      </c>
      <c r="P4" s="9" t="s">
        <v>54</v>
      </c>
    </row>
    <row r="5" spans="1:16" ht="36" customHeight="1" x14ac:dyDescent="0.3">
      <c r="A5" s="17">
        <v>1</v>
      </c>
      <c r="B5" s="28" t="s">
        <v>36</v>
      </c>
      <c r="C5" s="29" t="s">
        <v>55</v>
      </c>
      <c r="D5" s="30">
        <v>45698</v>
      </c>
      <c r="E5" s="31">
        <v>21578849</v>
      </c>
      <c r="F5" s="32" t="s">
        <v>56</v>
      </c>
      <c r="G5" s="33">
        <f>IF(ISNUMBER(D5),EDATE(D5,12),"")</f>
        <v>46063</v>
      </c>
      <c r="H5" s="34">
        <f t="shared" ref="H5:H18" ca="1" si="0">IF(ISNUMBER(G5),G5-TODAY(),"")</f>
        <v>-251</v>
      </c>
      <c r="I5" s="35">
        <f t="shared" ref="I5:I18" si="1">IF(ISNUMBER(G5),G5-90,"")</f>
        <v>45973</v>
      </c>
      <c r="J5" s="35">
        <f t="shared" ref="J5:J18" si="2">IF(ISNUMBER(G5),G5-30,"")</f>
        <v>46033</v>
      </c>
      <c r="K5" s="36" t="str">
        <f ca="1">IF(B5="","",IF(L5="Renouvelé","Renouvelé",IF(L5="Perdu","Perdu",IF(NOT(ISNUMBER(G5)),"Date à confirmer",IF(G5&lt;TODAY(),"Échu - urgent",IF(G5-TODAY()&lt;=90,"À relancer (≤ 90 j)","À venir"))))))</f>
        <v>Échu - urgent</v>
      </c>
      <c r="L5" s="37" t="s">
        <v>57</v>
      </c>
      <c r="M5" s="38"/>
      <c r="N5" s="39"/>
      <c r="O5" s="40" t="s">
        <v>58</v>
      </c>
      <c r="P5" s="32" t="s">
        <v>59</v>
      </c>
    </row>
    <row r="6" spans="1:16" ht="36" customHeight="1" x14ac:dyDescent="0.3">
      <c r="A6" s="17">
        <v>2</v>
      </c>
      <c r="B6" s="163" t="s">
        <v>188</v>
      </c>
      <c r="C6" s="29" t="s">
        <v>60</v>
      </c>
      <c r="D6" s="30">
        <v>45890</v>
      </c>
      <c r="E6" s="31">
        <v>7383000</v>
      </c>
      <c r="F6" s="32" t="s">
        <v>61</v>
      </c>
      <c r="G6" s="33">
        <f>IF(ISNUMBER(D6),EDATE(D6,12),"")</f>
        <v>46255</v>
      </c>
      <c r="H6" s="34">
        <f t="shared" ca="1" si="0"/>
        <v>-59</v>
      </c>
      <c r="I6" s="35">
        <f t="shared" si="1"/>
        <v>46165</v>
      </c>
      <c r="J6" s="35">
        <f t="shared" si="2"/>
        <v>46225</v>
      </c>
      <c r="K6" s="36" t="str">
        <f ca="1">IF(B6="","",IF(L6="Renouvelé","Renouvelé",IF(L6="Perdu","Perdu",IF(NOT(ISNUMBER(G6)),"Date à confirmer",IF(G6&lt;TODAY(),"Échu - urgent",IF(G6-TODAY()&lt;=90,"À relancer (≤ 90 j)","À venir"))))))</f>
        <v>Échu - urgent</v>
      </c>
      <c r="L6" s="37" t="s">
        <v>62</v>
      </c>
      <c r="M6" s="38"/>
      <c r="N6" s="39"/>
      <c r="O6" s="40" t="s">
        <v>63</v>
      </c>
      <c r="P6" s="32" t="s">
        <v>64</v>
      </c>
    </row>
    <row r="7" spans="1:16" ht="36" customHeight="1" x14ac:dyDescent="0.3">
      <c r="A7" s="17">
        <v>3</v>
      </c>
      <c r="B7" s="28" t="s">
        <v>35</v>
      </c>
      <c r="C7" s="29" t="s">
        <v>55</v>
      </c>
      <c r="D7" s="30">
        <v>46080</v>
      </c>
      <c r="E7" s="31">
        <v>66309707</v>
      </c>
      <c r="F7" s="32" t="s">
        <v>65</v>
      </c>
      <c r="G7" s="33">
        <f>IF(ISNUMBER(D7),EDATE(D7,12),"")</f>
        <v>46445</v>
      </c>
      <c r="H7" s="34">
        <f t="shared" ca="1" si="0"/>
        <v>131</v>
      </c>
      <c r="I7" s="35">
        <f t="shared" si="1"/>
        <v>46355</v>
      </c>
      <c r="J7" s="35">
        <f t="shared" si="2"/>
        <v>46415</v>
      </c>
      <c r="K7" s="36" t="str">
        <f ca="1">IF(B7="","",IF(L7="Renouvelé","Renouvelé",IF(L7="Perdu","Perdu",IF(NOT(ISNUMBER(G7)),"Date à confirmer",IF(G7&lt;TODAY(),"Échu - urgent",IF(G7-TODAY()&lt;=90,"À relancer (≤ 90 j)","À venir"))))))</f>
        <v>À venir</v>
      </c>
      <c r="L7" s="37" t="s">
        <v>66</v>
      </c>
      <c r="M7" s="38"/>
      <c r="N7" s="39"/>
      <c r="O7" s="40" t="s">
        <v>67</v>
      </c>
      <c r="P7" s="32" t="s">
        <v>68</v>
      </c>
    </row>
    <row r="8" spans="1:16" ht="36" customHeight="1" x14ac:dyDescent="0.3">
      <c r="A8" s="17">
        <v>4</v>
      </c>
      <c r="B8" s="28" t="s">
        <v>37</v>
      </c>
      <c r="C8" s="29" t="s">
        <v>55</v>
      </c>
      <c r="D8" s="30">
        <v>46197</v>
      </c>
      <c r="E8" s="31">
        <v>28766400</v>
      </c>
      <c r="F8" s="32" t="s">
        <v>69</v>
      </c>
      <c r="G8" s="33">
        <f>IF(ISNUMBER(D8),EDATE(D8,12),"")</f>
        <v>46562</v>
      </c>
      <c r="H8" s="34">
        <f t="shared" ca="1" si="0"/>
        <v>248</v>
      </c>
      <c r="I8" s="35">
        <f t="shared" si="1"/>
        <v>46472</v>
      </c>
      <c r="J8" s="35">
        <f t="shared" si="2"/>
        <v>46532</v>
      </c>
      <c r="K8" s="36" t="str">
        <f ca="1">IF(B8="","",IF(L8="Renouvelé","Renouvelé",IF(L8="Perdu","Perdu",IF(NOT(ISNUMBER(G8)),"Date à confirmer",IF(G8&lt;TODAY(),"Échu - urgent",IF(G8-TODAY()&lt;=90,"À relancer (≤ 90 j)","À venir"))))))</f>
        <v>À venir</v>
      </c>
      <c r="L8" s="37" t="s">
        <v>66</v>
      </c>
      <c r="M8" s="38"/>
      <c r="N8" s="39"/>
      <c r="O8" s="40" t="s">
        <v>70</v>
      </c>
      <c r="P8" s="32"/>
    </row>
    <row r="9" spans="1:16" ht="36" customHeight="1" x14ac:dyDescent="0.3">
      <c r="A9" s="17">
        <v>5</v>
      </c>
      <c r="B9" s="28" t="s">
        <v>39</v>
      </c>
      <c r="C9" s="29" t="s">
        <v>55</v>
      </c>
      <c r="D9" s="30">
        <v>46283</v>
      </c>
      <c r="E9" s="31">
        <v>1610068</v>
      </c>
      <c r="F9" s="32" t="s">
        <v>71</v>
      </c>
      <c r="G9" s="33">
        <f>IF(ISNUMBER(D9),EDATE(D9,12),"")</f>
        <v>46648</v>
      </c>
      <c r="H9" s="34">
        <f t="shared" ca="1" si="0"/>
        <v>334</v>
      </c>
      <c r="I9" s="35">
        <f t="shared" si="1"/>
        <v>46558</v>
      </c>
      <c r="J9" s="35">
        <f t="shared" si="2"/>
        <v>46618</v>
      </c>
      <c r="K9" s="36" t="str">
        <f ca="1">IF(B9="","",IF(L9="Renouvelé","Renouvelé",IF(L9="Perdu","Perdu",IF(NOT(ISNUMBER(G9)),"Date à confirmer",IF(G9&lt;TODAY(),"Échu - urgent",IF(G9-TODAY()&lt;=90,"À relancer (≤ 90 j)","À venir"))))))</f>
        <v>À venir</v>
      </c>
      <c r="L9" s="37" t="s">
        <v>66</v>
      </c>
      <c r="M9" s="38"/>
      <c r="N9" s="39"/>
      <c r="O9" s="40"/>
      <c r="P9" s="32" t="s">
        <v>72</v>
      </c>
    </row>
    <row r="10" spans="1:16" ht="36" customHeight="1" x14ac:dyDescent="0.3">
      <c r="A10" s="17">
        <v>6</v>
      </c>
      <c r="B10" s="28" t="s">
        <v>35</v>
      </c>
      <c r="C10" s="29" t="s">
        <v>73</v>
      </c>
      <c r="D10" s="30" t="s">
        <v>74</v>
      </c>
      <c r="E10" s="31">
        <v>18000000</v>
      </c>
      <c r="F10" s="32" t="s">
        <v>75</v>
      </c>
      <c r="G10" s="41"/>
      <c r="H10" s="34" t="str">
        <f t="shared" ca="1" si="0"/>
        <v/>
      </c>
      <c r="I10" s="35" t="str">
        <f t="shared" si="1"/>
        <v/>
      </c>
      <c r="J10" s="35" t="str">
        <f t="shared" si="2"/>
        <v/>
      </c>
      <c r="K10" s="36" t="str">
        <f ca="1">IF(B10="","",IF(L10="Renouvelé","Renouvelé",IF(L10="Perdu","Perdu",IF(NOT(ISNUMBER(G10)),"Date à confirmer",IF(G10&lt;TODAY(),"Échu - urgent",IF(G10-TODAY()&lt;=90,"À relancer (≤ 90 j)","À venir"))))))</f>
        <v>Date à confirmer</v>
      </c>
      <c r="L10" s="37" t="s">
        <v>66</v>
      </c>
      <c r="M10" s="38"/>
      <c r="N10" s="39"/>
      <c r="O10" s="40" t="s">
        <v>76</v>
      </c>
      <c r="P10" s="32" t="s">
        <v>77</v>
      </c>
    </row>
    <row r="11" spans="1:16" x14ac:dyDescent="0.3">
      <c r="A11" s="17" t="str">
        <f t="shared" ref="A11:A18" si="3">IF(B11="","",ROW()-4)</f>
        <v/>
      </c>
      <c r="B11" s="42"/>
      <c r="C11" s="42"/>
      <c r="D11" s="30"/>
      <c r="E11" s="31"/>
      <c r="F11" s="42"/>
      <c r="G11" s="33" t="str">
        <f t="shared" ref="G11:G18" si="4">IF(ISNUMBER(D11),EDATE(D11,12),"")</f>
        <v/>
      </c>
      <c r="H11" s="34" t="str">
        <f t="shared" ca="1" si="0"/>
        <v/>
      </c>
      <c r="I11" s="35" t="str">
        <f t="shared" si="1"/>
        <v/>
      </c>
      <c r="J11" s="35" t="str">
        <f t="shared" si="2"/>
        <v/>
      </c>
      <c r="K11" s="36" t="str">
        <f ca="1">IF(B11="","",IF(L11="Renouvelé","Renouvelé",IF(L11="Perdu","Perdu",IF(NOT(ISNUMBER(G11)),"Date à confirmer",IF(G11&lt;TODAY(),"Échu - urgent",IF(G11-TODAY()&lt;=90,"À relancer (≤ 90 j)","À venir"))))))</f>
        <v/>
      </c>
      <c r="L11" s="43"/>
      <c r="M11" s="38"/>
      <c r="N11" s="39"/>
      <c r="O11" s="38"/>
      <c r="P11" s="42"/>
    </row>
    <row r="12" spans="1:16" x14ac:dyDescent="0.3">
      <c r="A12" s="17" t="str">
        <f t="shared" si="3"/>
        <v/>
      </c>
      <c r="B12" s="42"/>
      <c r="C12" s="42"/>
      <c r="D12" s="30"/>
      <c r="E12" s="31"/>
      <c r="F12" s="42"/>
      <c r="G12" s="33" t="str">
        <f t="shared" si="4"/>
        <v/>
      </c>
      <c r="H12" s="34" t="str">
        <f t="shared" ca="1" si="0"/>
        <v/>
      </c>
      <c r="I12" s="35" t="str">
        <f t="shared" si="1"/>
        <v/>
      </c>
      <c r="J12" s="35" t="str">
        <f t="shared" si="2"/>
        <v/>
      </c>
      <c r="K12" s="36" t="str">
        <f ca="1">IF(B12="","",IF(L12="Renouvelé","Renouvelé",IF(L12="Perdu","Perdu",IF(NOT(ISNUMBER(G12)),"Date à confirmer",IF(G12&lt;TODAY(),"Échu - urgent",IF(G12-TODAY()&lt;=90,"À relancer (≤ 90 j)","À venir"))))))</f>
        <v/>
      </c>
      <c r="L12" s="43"/>
      <c r="M12" s="38"/>
      <c r="N12" s="39"/>
      <c r="O12" s="38"/>
      <c r="P12" s="42"/>
    </row>
    <row r="13" spans="1:16" x14ac:dyDescent="0.3">
      <c r="A13" s="17" t="str">
        <f t="shared" si="3"/>
        <v/>
      </c>
      <c r="B13" s="42"/>
      <c r="C13" s="42"/>
      <c r="D13" s="30"/>
      <c r="E13" s="31"/>
      <c r="F13" s="42"/>
      <c r="G13" s="33" t="str">
        <f t="shared" si="4"/>
        <v/>
      </c>
      <c r="H13" s="34" t="str">
        <f t="shared" ca="1" si="0"/>
        <v/>
      </c>
      <c r="I13" s="35" t="str">
        <f t="shared" si="1"/>
        <v/>
      </c>
      <c r="J13" s="35" t="str">
        <f t="shared" si="2"/>
        <v/>
      </c>
      <c r="K13" s="36" t="str">
        <f ca="1">IF(B13="","",IF(L13="Renouvelé","Renouvelé",IF(L13="Perdu","Perdu",IF(NOT(ISNUMBER(G13)),"Date à confirmer",IF(G13&lt;TODAY(),"Échu - urgent",IF(G13-TODAY()&lt;=90,"À relancer (≤ 90 j)","À venir"))))))</f>
        <v/>
      </c>
      <c r="L13" s="43"/>
      <c r="M13" s="38"/>
      <c r="N13" s="39"/>
      <c r="O13" s="38"/>
      <c r="P13" s="42"/>
    </row>
    <row r="14" spans="1:16" x14ac:dyDescent="0.3">
      <c r="A14" s="17" t="str">
        <f t="shared" si="3"/>
        <v/>
      </c>
      <c r="B14" s="42"/>
      <c r="C14" s="42"/>
      <c r="D14" s="30"/>
      <c r="E14" s="31"/>
      <c r="F14" s="42"/>
      <c r="G14" s="33" t="str">
        <f t="shared" si="4"/>
        <v/>
      </c>
      <c r="H14" s="34" t="str">
        <f t="shared" ca="1" si="0"/>
        <v/>
      </c>
      <c r="I14" s="35" t="str">
        <f t="shared" si="1"/>
        <v/>
      </c>
      <c r="J14" s="35" t="str">
        <f t="shared" si="2"/>
        <v/>
      </c>
      <c r="K14" s="36" t="str">
        <f ca="1">IF(B14="","",IF(L14="Renouvelé","Renouvelé",IF(L14="Perdu","Perdu",IF(NOT(ISNUMBER(G14)),"Date à confirmer",IF(G14&lt;TODAY(),"Échu - urgent",IF(G14-TODAY()&lt;=90,"À relancer (≤ 90 j)","À venir"))))))</f>
        <v/>
      </c>
      <c r="L14" s="43"/>
      <c r="M14" s="38"/>
      <c r="N14" s="39"/>
      <c r="O14" s="38"/>
      <c r="P14" s="42"/>
    </row>
    <row r="15" spans="1:16" x14ac:dyDescent="0.3">
      <c r="A15" s="17" t="str">
        <f t="shared" si="3"/>
        <v/>
      </c>
      <c r="B15" s="42"/>
      <c r="C15" s="42"/>
      <c r="D15" s="30"/>
      <c r="E15" s="31"/>
      <c r="F15" s="42"/>
      <c r="G15" s="33" t="str">
        <f t="shared" si="4"/>
        <v/>
      </c>
      <c r="H15" s="34" t="str">
        <f t="shared" ca="1" si="0"/>
        <v/>
      </c>
      <c r="I15" s="35" t="str">
        <f t="shared" si="1"/>
        <v/>
      </c>
      <c r="J15" s="35" t="str">
        <f t="shared" si="2"/>
        <v/>
      </c>
      <c r="K15" s="36" t="str">
        <f ca="1">IF(B15="","",IF(L15="Renouvelé","Renouvelé",IF(L15="Perdu","Perdu",IF(NOT(ISNUMBER(G15)),"Date à confirmer",IF(G15&lt;TODAY(),"Échu - urgent",IF(G15-TODAY()&lt;=90,"À relancer (≤ 90 j)","À venir"))))))</f>
        <v/>
      </c>
      <c r="L15" s="43"/>
      <c r="M15" s="38"/>
      <c r="N15" s="39"/>
      <c r="O15" s="38"/>
      <c r="P15" s="42"/>
    </row>
    <row r="16" spans="1:16" x14ac:dyDescent="0.3">
      <c r="A16" s="17" t="str">
        <f t="shared" si="3"/>
        <v/>
      </c>
      <c r="B16" s="42"/>
      <c r="C16" s="42"/>
      <c r="D16" s="30"/>
      <c r="E16" s="31"/>
      <c r="F16" s="42"/>
      <c r="G16" s="33" t="str">
        <f t="shared" si="4"/>
        <v/>
      </c>
      <c r="H16" s="34" t="str">
        <f t="shared" ca="1" si="0"/>
        <v/>
      </c>
      <c r="I16" s="35" t="str">
        <f t="shared" si="1"/>
        <v/>
      </c>
      <c r="J16" s="35" t="str">
        <f t="shared" si="2"/>
        <v/>
      </c>
      <c r="K16" s="36" t="str">
        <f ca="1">IF(B16="","",IF(L16="Renouvelé","Renouvelé",IF(L16="Perdu","Perdu",IF(NOT(ISNUMBER(G16)),"Date à confirmer",IF(G16&lt;TODAY(),"Échu - urgent",IF(G16-TODAY()&lt;=90,"À relancer (≤ 90 j)","À venir"))))))</f>
        <v/>
      </c>
      <c r="L16" s="43"/>
      <c r="M16" s="38"/>
      <c r="N16" s="39"/>
      <c r="O16" s="38"/>
      <c r="P16" s="42"/>
    </row>
    <row r="17" spans="1:16" x14ac:dyDescent="0.3">
      <c r="A17" s="17" t="str">
        <f t="shared" si="3"/>
        <v/>
      </c>
      <c r="B17" s="42"/>
      <c r="C17" s="42"/>
      <c r="D17" s="30"/>
      <c r="E17" s="31"/>
      <c r="F17" s="42"/>
      <c r="G17" s="33" t="str">
        <f t="shared" si="4"/>
        <v/>
      </c>
      <c r="H17" s="34" t="str">
        <f t="shared" ca="1" si="0"/>
        <v/>
      </c>
      <c r="I17" s="35" t="str">
        <f t="shared" si="1"/>
        <v/>
      </c>
      <c r="J17" s="35" t="str">
        <f t="shared" si="2"/>
        <v/>
      </c>
      <c r="K17" s="36" t="str">
        <f ca="1">IF(B17="","",IF(L17="Renouvelé","Renouvelé",IF(L17="Perdu","Perdu",IF(NOT(ISNUMBER(G17)),"Date à confirmer",IF(G17&lt;TODAY(),"Échu - urgent",IF(G17-TODAY()&lt;=90,"À relancer (≤ 90 j)","À venir"))))))</f>
        <v/>
      </c>
      <c r="L17" s="43"/>
      <c r="M17" s="38"/>
      <c r="N17" s="39"/>
      <c r="O17" s="38"/>
      <c r="P17" s="42"/>
    </row>
    <row r="18" spans="1:16" x14ac:dyDescent="0.3">
      <c r="A18" s="17" t="str">
        <f t="shared" si="3"/>
        <v/>
      </c>
      <c r="B18" s="42"/>
      <c r="C18" s="42"/>
      <c r="D18" s="30"/>
      <c r="E18" s="31"/>
      <c r="F18" s="42"/>
      <c r="G18" s="33" t="str">
        <f t="shared" si="4"/>
        <v/>
      </c>
      <c r="H18" s="34" t="str">
        <f t="shared" ca="1" si="0"/>
        <v/>
      </c>
      <c r="I18" s="35" t="str">
        <f t="shared" si="1"/>
        <v/>
      </c>
      <c r="J18" s="35" t="str">
        <f t="shared" si="2"/>
        <v/>
      </c>
      <c r="K18" s="36" t="str">
        <f ca="1">IF(B18="","",IF(L18="Renouvelé","Renouvelé",IF(L18="Perdu","Perdu",IF(NOT(ISNUMBER(G18)),"Date à confirmer",IF(G18&lt;TODAY(),"Échu - urgent",IF(G18-TODAY()&lt;=90,"À relancer (≤ 90 j)","À venir"))))))</f>
        <v/>
      </c>
      <c r="L18" s="43"/>
      <c r="M18" s="38"/>
      <c r="N18" s="39"/>
      <c r="O18" s="38"/>
      <c r="P18" s="42"/>
    </row>
    <row r="19" spans="1:16" x14ac:dyDescent="0.3">
      <c r="A19" s="69" t="s">
        <v>28</v>
      </c>
      <c r="B19" s="69"/>
      <c r="C19" s="69"/>
      <c r="D19" s="69"/>
      <c r="E19" s="23">
        <f>SUM(E5:E18)</f>
        <v>143648024</v>
      </c>
      <c r="F19" s="44" t="s">
        <v>78</v>
      </c>
      <c r="G19" s="25"/>
      <c r="H19" s="25"/>
      <c r="I19" s="25"/>
      <c r="J19" s="25"/>
      <c r="K19" s="25"/>
      <c r="L19" s="25"/>
      <c r="M19" s="25"/>
      <c r="N19" s="25"/>
      <c r="O19" s="25"/>
      <c r="P19" s="25"/>
    </row>
  </sheetData>
  <autoFilter ref="A4:P18" xr:uid="{00000000-0009-0000-0000-000001000000}"/>
  <mergeCells count="3">
    <mergeCell ref="A1:P1"/>
    <mergeCell ref="A2:P2"/>
    <mergeCell ref="A19:D19"/>
  </mergeCells>
  <conditionalFormatting sqref="I5:J18">
    <cfRule type="expression" dxfId="10" priority="6">
      <formula>AND(ISNUMBER(I5),I5&lt;=TODAY(),$L5&lt;&gt;"Renouvelé",$L5&lt;&gt;"Perdu")</formula>
    </cfRule>
  </conditionalFormatting>
  <conditionalFormatting sqref="K5:K18">
    <cfRule type="expression" dxfId="9" priority="2">
      <formula>LEFT(K5,4)="Échu"</formula>
    </cfRule>
    <cfRule type="expression" dxfId="8" priority="3">
      <formula>LEFT(K5,9)="À relancer"</formula>
    </cfRule>
    <cfRule type="expression" dxfId="7" priority="4">
      <formula>K5="Date à confirmer"</formula>
    </cfRule>
    <cfRule type="expression" dxfId="6" priority="5">
      <formula>K5="Renouvelé"</formula>
    </cfRule>
  </conditionalFormatting>
  <pageMargins left="0.75" right="0.75" top="1" bottom="1" header="0.511811023622047" footer="0.511811023622047"/>
  <pageSetup fitToHeight="0" orientation="landscape" horizontalDpi="300" verticalDpi="300"/>
  <legacy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100-000000000000}">
          <x14:formula1>
            <xm:f>Listes!$C$2:$C$7</xm:f>
          </x14:formula1>
          <x14:formula2>
            <xm:f>0</xm:f>
          </x14:formula2>
          <xm:sqref>L5:L18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  <pageSetUpPr fitToPage="1"/>
  </sheetPr>
  <dimension ref="A1:Q32"/>
  <sheetViews>
    <sheetView showGridLines="0" zoomScaleNormal="100" workbookViewId="0">
      <pane xSplit="5" ySplit="4" topLeftCell="J5" activePane="bottomRight" state="frozen"/>
      <selection pane="topRight" activeCell="F1" sqref="F1"/>
      <selection pane="bottomLeft" activeCell="A5" sqref="A5"/>
      <selection pane="bottomRight" activeCell="O18" sqref="O18"/>
    </sheetView>
  </sheetViews>
  <sheetFormatPr baseColWidth="10" defaultColWidth="8.6640625" defaultRowHeight="14.4" x14ac:dyDescent="0.3"/>
  <cols>
    <col min="1" max="1" width="5" customWidth="1"/>
    <col min="2" max="2" width="9" customWidth="1"/>
    <col min="3" max="3" width="11" customWidth="1"/>
    <col min="4" max="4" width="22" customWidth="1"/>
    <col min="5" max="5" width="36" customWidth="1"/>
    <col min="6" max="6" width="13" customWidth="1"/>
    <col min="7" max="9" width="15" customWidth="1"/>
    <col min="10" max="10" width="11" customWidth="1"/>
    <col min="11" max="11" width="26" customWidth="1"/>
    <col min="12" max="12" width="13" customWidth="1"/>
    <col min="13" max="13" width="40" customWidth="1"/>
    <col min="14" max="14" width="14" customWidth="1"/>
    <col min="15" max="15" width="12" customWidth="1"/>
    <col min="16" max="16" width="13" customWidth="1"/>
    <col min="17" max="17" width="44" customWidth="1"/>
  </cols>
  <sheetData>
    <row r="1" spans="1:17" ht="33.75" customHeight="1" x14ac:dyDescent="0.3">
      <c r="A1" s="67" t="s">
        <v>79</v>
      </c>
      <c r="B1" s="67"/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  <c r="N1" s="67"/>
      <c r="O1" s="67"/>
      <c r="P1" s="67"/>
      <c r="Q1" s="67"/>
    </row>
    <row r="2" spans="1:17" ht="25.5" customHeight="1" x14ac:dyDescent="0.3">
      <c r="A2" s="68" t="s">
        <v>80</v>
      </c>
      <c r="B2" s="68"/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</row>
    <row r="4" spans="1:17" ht="31.5" customHeight="1" x14ac:dyDescent="0.3">
      <c r="A4" s="9" t="s">
        <v>45</v>
      </c>
      <c r="B4" s="9" t="s">
        <v>22</v>
      </c>
      <c r="C4" s="9" t="s">
        <v>13</v>
      </c>
      <c r="D4" s="9" t="s">
        <v>81</v>
      </c>
      <c r="E4" s="9" t="s">
        <v>82</v>
      </c>
      <c r="F4" s="9" t="s">
        <v>83</v>
      </c>
      <c r="G4" s="9" t="s">
        <v>84</v>
      </c>
      <c r="H4" s="9" t="s">
        <v>85</v>
      </c>
      <c r="I4" s="9" t="s">
        <v>26</v>
      </c>
      <c r="J4" s="9" t="s">
        <v>5</v>
      </c>
      <c r="K4" s="9" t="s">
        <v>86</v>
      </c>
      <c r="L4" s="9" t="s">
        <v>87</v>
      </c>
      <c r="M4" s="9" t="s">
        <v>53</v>
      </c>
      <c r="N4" s="9" t="s">
        <v>51</v>
      </c>
      <c r="O4" s="9" t="s">
        <v>88</v>
      </c>
      <c r="P4" s="9" t="s">
        <v>52</v>
      </c>
      <c r="Q4" s="9" t="s">
        <v>54</v>
      </c>
    </row>
    <row r="5" spans="1:17" ht="30" customHeight="1" x14ac:dyDescent="0.3">
      <c r="A5" s="17">
        <v>1</v>
      </c>
      <c r="B5" s="45">
        <v>2024</v>
      </c>
      <c r="C5" s="28" t="s">
        <v>39</v>
      </c>
      <c r="D5" s="42" t="s">
        <v>89</v>
      </c>
      <c r="E5" s="29" t="s">
        <v>90</v>
      </c>
      <c r="F5" s="30">
        <v>45560</v>
      </c>
      <c r="G5" s="31">
        <v>1003000</v>
      </c>
      <c r="H5" s="31">
        <v>1003000</v>
      </c>
      <c r="I5" s="46">
        <f t="shared" ref="I5:I32" si="0">IF(N(G5)=0,"",G5-H5)</f>
        <v>0</v>
      </c>
      <c r="J5" s="47">
        <f t="shared" ref="J5:J32" si="1">IF(N(G5)=0,"",H5/G5)</f>
        <v>1</v>
      </c>
      <c r="K5" s="37" t="s">
        <v>91</v>
      </c>
      <c r="L5" s="48" t="str">
        <f t="shared" ref="L5:L32" ca="1" si="2">IF(AND(ISNUMBER(F5),N(I5)&gt;0),TODAY()-F5,"")</f>
        <v/>
      </c>
      <c r="M5" s="40"/>
      <c r="N5" s="38"/>
      <c r="O5" s="39"/>
      <c r="P5" s="39"/>
      <c r="Q5" s="11"/>
    </row>
    <row r="6" spans="1:17" ht="30" customHeight="1" x14ac:dyDescent="0.3">
      <c r="A6" s="17">
        <v>2</v>
      </c>
      <c r="B6" s="45">
        <v>2024</v>
      </c>
      <c r="C6" s="28" t="s">
        <v>35</v>
      </c>
      <c r="D6" s="42" t="s">
        <v>35</v>
      </c>
      <c r="E6" s="29" t="s">
        <v>92</v>
      </c>
      <c r="F6" s="30">
        <v>45595</v>
      </c>
      <c r="G6" s="31">
        <v>69799690</v>
      </c>
      <c r="H6" s="31">
        <v>69799690</v>
      </c>
      <c r="I6" s="46">
        <f t="shared" si="0"/>
        <v>0</v>
      </c>
      <c r="J6" s="47">
        <f t="shared" si="1"/>
        <v>1</v>
      </c>
      <c r="K6" s="37" t="s">
        <v>91</v>
      </c>
      <c r="L6" s="48" t="str">
        <f t="shared" ca="1" si="2"/>
        <v/>
      </c>
      <c r="M6" s="40"/>
      <c r="N6" s="38"/>
      <c r="O6" s="39"/>
      <c r="P6" s="39"/>
      <c r="Q6" s="11" t="s">
        <v>93</v>
      </c>
    </row>
    <row r="7" spans="1:17" ht="30" customHeight="1" x14ac:dyDescent="0.3">
      <c r="A7" s="49">
        <v>3</v>
      </c>
      <c r="B7" s="50">
        <v>2025</v>
      </c>
      <c r="C7" s="51" t="s">
        <v>36</v>
      </c>
      <c r="D7" s="52" t="s">
        <v>36</v>
      </c>
      <c r="E7" s="53" t="s">
        <v>90</v>
      </c>
      <c r="F7" s="54">
        <v>45698</v>
      </c>
      <c r="G7" s="55">
        <v>21578849</v>
      </c>
      <c r="H7" s="55">
        <v>21578849</v>
      </c>
      <c r="I7" s="56">
        <f t="shared" si="0"/>
        <v>0</v>
      </c>
      <c r="J7" s="57">
        <f t="shared" si="1"/>
        <v>1</v>
      </c>
      <c r="K7" s="58" t="s">
        <v>91</v>
      </c>
      <c r="L7" s="59" t="str">
        <f t="shared" ca="1" si="2"/>
        <v/>
      </c>
      <c r="M7" s="60"/>
      <c r="N7" s="61"/>
      <c r="O7" s="62"/>
      <c r="P7" s="62"/>
      <c r="Q7" s="63" t="s">
        <v>94</v>
      </c>
    </row>
    <row r="8" spans="1:17" ht="30" customHeight="1" x14ac:dyDescent="0.3">
      <c r="A8" s="17">
        <v>4</v>
      </c>
      <c r="B8" s="45">
        <v>2025</v>
      </c>
      <c r="C8" s="28" t="s">
        <v>38</v>
      </c>
      <c r="D8" s="42" t="s">
        <v>38</v>
      </c>
      <c r="E8" s="29" t="s">
        <v>95</v>
      </c>
      <c r="F8" s="30">
        <v>45890</v>
      </c>
      <c r="G8" s="31">
        <v>7383000</v>
      </c>
      <c r="H8" s="31">
        <v>7383000</v>
      </c>
      <c r="I8" s="46">
        <f t="shared" si="0"/>
        <v>0</v>
      </c>
      <c r="J8" s="47">
        <f t="shared" si="1"/>
        <v>1</v>
      </c>
      <c r="K8" s="37" t="s">
        <v>91</v>
      </c>
      <c r="L8" s="48" t="str">
        <f t="shared" ca="1" si="2"/>
        <v/>
      </c>
      <c r="M8" s="40"/>
      <c r="N8" s="38"/>
      <c r="O8" s="39"/>
      <c r="P8" s="39"/>
      <c r="Q8" s="11" t="s">
        <v>96</v>
      </c>
    </row>
    <row r="9" spans="1:17" ht="30" customHeight="1" x14ac:dyDescent="0.3">
      <c r="A9" s="17">
        <v>5</v>
      </c>
      <c r="B9" s="45">
        <v>2025</v>
      </c>
      <c r="C9" s="28" t="s">
        <v>35</v>
      </c>
      <c r="D9" s="42" t="s">
        <v>35</v>
      </c>
      <c r="E9" s="29" t="s">
        <v>90</v>
      </c>
      <c r="F9" s="30">
        <v>45898</v>
      </c>
      <c r="G9" s="31">
        <v>66309706</v>
      </c>
      <c r="H9" s="31">
        <v>66309706</v>
      </c>
      <c r="I9" s="46">
        <f t="shared" si="0"/>
        <v>0</v>
      </c>
      <c r="J9" s="47">
        <f t="shared" si="1"/>
        <v>1</v>
      </c>
      <c r="K9" s="37" t="s">
        <v>91</v>
      </c>
      <c r="L9" s="48" t="str">
        <f t="shared" ca="1" si="2"/>
        <v/>
      </c>
      <c r="M9" s="40"/>
      <c r="N9" s="38"/>
      <c r="O9" s="39"/>
      <c r="P9" s="39"/>
      <c r="Q9" s="11" t="s">
        <v>97</v>
      </c>
    </row>
    <row r="10" spans="1:17" ht="30" customHeight="1" x14ac:dyDescent="0.3">
      <c r="A10" s="17">
        <v>6</v>
      </c>
      <c r="B10" s="45">
        <v>2025</v>
      </c>
      <c r="C10" s="28" t="s">
        <v>35</v>
      </c>
      <c r="D10" s="42" t="s">
        <v>35</v>
      </c>
      <c r="E10" s="29" t="s">
        <v>98</v>
      </c>
      <c r="F10" s="30" t="s">
        <v>74</v>
      </c>
      <c r="G10" s="31">
        <v>18000000</v>
      </c>
      <c r="H10" s="31">
        <v>18000000</v>
      </c>
      <c r="I10" s="46">
        <f t="shared" si="0"/>
        <v>0</v>
      </c>
      <c r="J10" s="47">
        <f t="shared" si="1"/>
        <v>1</v>
      </c>
      <c r="K10" s="37" t="s">
        <v>91</v>
      </c>
      <c r="L10" s="48" t="str">
        <f t="shared" ca="1" si="2"/>
        <v/>
      </c>
      <c r="M10" s="40"/>
      <c r="N10" s="38"/>
      <c r="O10" s="39"/>
      <c r="P10" s="39"/>
      <c r="Q10" s="11" t="s">
        <v>99</v>
      </c>
    </row>
    <row r="11" spans="1:17" ht="30" customHeight="1" x14ac:dyDescent="0.3">
      <c r="A11" s="17">
        <v>7</v>
      </c>
      <c r="B11" s="45">
        <v>2025</v>
      </c>
      <c r="C11" s="28" t="s">
        <v>39</v>
      </c>
      <c r="D11" s="42" t="s">
        <v>39</v>
      </c>
      <c r="E11" s="29" t="s">
        <v>90</v>
      </c>
      <c r="F11" s="30">
        <v>45905</v>
      </c>
      <c r="G11" s="31">
        <v>982940</v>
      </c>
      <c r="H11" s="31">
        <v>982940</v>
      </c>
      <c r="I11" s="46">
        <f t="shared" si="0"/>
        <v>0</v>
      </c>
      <c r="J11" s="47">
        <f t="shared" si="1"/>
        <v>1</v>
      </c>
      <c r="K11" s="37" t="s">
        <v>91</v>
      </c>
      <c r="L11" s="48" t="str">
        <f t="shared" ca="1" si="2"/>
        <v/>
      </c>
      <c r="M11" s="40"/>
      <c r="N11" s="38"/>
      <c r="O11" s="39"/>
      <c r="P11" s="39"/>
      <c r="Q11" s="11" t="s">
        <v>100</v>
      </c>
    </row>
    <row r="12" spans="1:17" ht="30" customHeight="1" x14ac:dyDescent="0.3">
      <c r="A12" s="49">
        <v>8</v>
      </c>
      <c r="B12" s="50">
        <v>2026</v>
      </c>
      <c r="C12" s="51" t="s">
        <v>35</v>
      </c>
      <c r="D12" s="52" t="s">
        <v>35</v>
      </c>
      <c r="E12" s="53" t="s">
        <v>101</v>
      </c>
      <c r="F12" s="54">
        <v>46080</v>
      </c>
      <c r="G12" s="55">
        <v>66309707</v>
      </c>
      <c r="H12" s="55">
        <v>66309707</v>
      </c>
      <c r="I12" s="56">
        <f t="shared" si="0"/>
        <v>0</v>
      </c>
      <c r="J12" s="57">
        <f t="shared" si="1"/>
        <v>1</v>
      </c>
      <c r="K12" s="58" t="s">
        <v>91</v>
      </c>
      <c r="L12" s="59" t="str">
        <f t="shared" ca="1" si="2"/>
        <v/>
      </c>
      <c r="M12" s="60"/>
      <c r="N12" s="61"/>
      <c r="O12" s="62"/>
      <c r="P12" s="62"/>
      <c r="Q12" s="63"/>
    </row>
    <row r="13" spans="1:17" ht="30" customHeight="1" x14ac:dyDescent="0.3">
      <c r="A13" s="17">
        <v>9</v>
      </c>
      <c r="B13" s="45">
        <v>2026</v>
      </c>
      <c r="C13" s="28" t="s">
        <v>35</v>
      </c>
      <c r="D13" s="42" t="s">
        <v>35</v>
      </c>
      <c r="E13" s="29" t="s">
        <v>98</v>
      </c>
      <c r="F13" s="30" t="s">
        <v>74</v>
      </c>
      <c r="G13" s="31">
        <v>18000000</v>
      </c>
      <c r="H13" s="31">
        <v>13500000</v>
      </c>
      <c r="I13" s="46">
        <f t="shared" si="0"/>
        <v>4500000</v>
      </c>
      <c r="J13" s="47">
        <f t="shared" si="1"/>
        <v>0.75</v>
      </c>
      <c r="K13" s="37" t="s">
        <v>102</v>
      </c>
      <c r="L13" s="48" t="str">
        <f t="shared" ca="1" si="2"/>
        <v/>
      </c>
      <c r="M13" s="40" t="s">
        <v>103</v>
      </c>
      <c r="N13" s="38"/>
      <c r="O13" s="39">
        <v>46357</v>
      </c>
      <c r="P13" s="39"/>
      <c r="Q13" s="11" t="s">
        <v>120</v>
      </c>
    </row>
    <row r="14" spans="1:17" ht="30" customHeight="1" x14ac:dyDescent="0.3">
      <c r="A14" s="17">
        <v>10</v>
      </c>
      <c r="B14" s="45">
        <v>2026</v>
      </c>
      <c r="C14" s="28" t="s">
        <v>37</v>
      </c>
      <c r="D14" s="42" t="s">
        <v>37</v>
      </c>
      <c r="E14" s="29" t="s">
        <v>101</v>
      </c>
      <c r="F14" s="30">
        <v>46197</v>
      </c>
      <c r="G14" s="31">
        <v>28766400</v>
      </c>
      <c r="H14" s="31">
        <v>28766400</v>
      </c>
      <c r="I14" s="46">
        <f t="shared" si="0"/>
        <v>0</v>
      </c>
      <c r="J14" s="47">
        <f t="shared" si="1"/>
        <v>1</v>
      </c>
      <c r="K14" s="37" t="s">
        <v>91</v>
      </c>
      <c r="L14" s="48" t="str">
        <f t="shared" ca="1" si="2"/>
        <v/>
      </c>
      <c r="M14" s="40"/>
      <c r="N14" s="38"/>
      <c r="O14" s="39"/>
      <c r="P14" s="39"/>
      <c r="Q14" s="11" t="s">
        <v>104</v>
      </c>
    </row>
    <row r="15" spans="1:17" ht="30" customHeight="1" x14ac:dyDescent="0.3">
      <c r="A15" s="17">
        <v>11</v>
      </c>
      <c r="B15" s="45">
        <v>2026</v>
      </c>
      <c r="C15" s="28" t="s">
        <v>39</v>
      </c>
      <c r="D15" s="42" t="s">
        <v>105</v>
      </c>
      <c r="E15" s="29" t="s">
        <v>101</v>
      </c>
      <c r="F15" s="30">
        <v>46283</v>
      </c>
      <c r="G15" s="31">
        <v>1610068</v>
      </c>
      <c r="H15" s="31">
        <v>1610068</v>
      </c>
      <c r="I15" s="46">
        <f t="shared" si="0"/>
        <v>0</v>
      </c>
      <c r="J15" s="47">
        <f t="shared" si="1"/>
        <v>1</v>
      </c>
      <c r="K15" s="37" t="s">
        <v>91</v>
      </c>
      <c r="L15" s="48" t="str">
        <f t="shared" ca="1" si="2"/>
        <v/>
      </c>
      <c r="M15" s="40"/>
      <c r="N15" s="38"/>
      <c r="O15" s="39"/>
      <c r="P15" s="39"/>
      <c r="Q15" s="11"/>
    </row>
    <row r="16" spans="1:17" ht="30" customHeight="1" x14ac:dyDescent="0.3">
      <c r="A16" s="17">
        <v>12</v>
      </c>
      <c r="B16" s="45">
        <v>2026</v>
      </c>
      <c r="C16" s="28" t="s">
        <v>36</v>
      </c>
      <c r="D16" s="42" t="s">
        <v>36</v>
      </c>
      <c r="E16" s="29" t="s">
        <v>101</v>
      </c>
      <c r="F16" s="30"/>
      <c r="G16" s="31"/>
      <c r="H16" s="31">
        <v>0</v>
      </c>
      <c r="I16" s="46" t="str">
        <f t="shared" si="0"/>
        <v/>
      </c>
      <c r="J16" s="47" t="str">
        <f t="shared" si="1"/>
        <v/>
      </c>
      <c r="K16" s="37" t="s">
        <v>106</v>
      </c>
      <c r="L16" s="48" t="str">
        <f t="shared" ca="1" si="2"/>
        <v/>
      </c>
      <c r="M16" s="40" t="s">
        <v>107</v>
      </c>
      <c r="N16" s="38"/>
      <c r="O16" s="39">
        <v>46318</v>
      </c>
      <c r="P16" s="39"/>
      <c r="Q16" s="11" t="s">
        <v>108</v>
      </c>
    </row>
    <row r="17" spans="1:17" ht="30" customHeight="1" x14ac:dyDescent="0.3">
      <c r="A17" s="17">
        <v>13</v>
      </c>
      <c r="B17" s="45">
        <v>2026</v>
      </c>
      <c r="C17" s="28" t="s">
        <v>38</v>
      </c>
      <c r="D17" s="42" t="s">
        <v>38</v>
      </c>
      <c r="E17" s="29" t="s">
        <v>109</v>
      </c>
      <c r="F17" s="30"/>
      <c r="G17" s="31"/>
      <c r="H17" s="31">
        <v>0</v>
      </c>
      <c r="I17" s="46" t="str">
        <f t="shared" si="0"/>
        <v/>
      </c>
      <c r="J17" s="47" t="str">
        <f t="shared" si="1"/>
        <v/>
      </c>
      <c r="K17" s="37" t="s">
        <v>62</v>
      </c>
      <c r="L17" s="48" t="str">
        <f t="shared" ca="1" si="2"/>
        <v/>
      </c>
      <c r="M17" s="40" t="s">
        <v>110</v>
      </c>
      <c r="N17" s="38"/>
      <c r="O17" s="39">
        <v>46309</v>
      </c>
      <c r="P17" s="39"/>
      <c r="Q17" s="11" t="s">
        <v>111</v>
      </c>
    </row>
    <row r="18" spans="1:17" x14ac:dyDescent="0.3">
      <c r="A18" s="17" t="str">
        <f t="shared" ref="A18:A32" si="3">IF(C18="","",ROW()-4)</f>
        <v/>
      </c>
      <c r="B18" s="45"/>
      <c r="C18" s="42"/>
      <c r="D18" s="42"/>
      <c r="E18" s="42"/>
      <c r="F18" s="30"/>
      <c r="G18" s="31"/>
      <c r="H18" s="31"/>
      <c r="I18" s="46" t="str">
        <f t="shared" si="0"/>
        <v/>
      </c>
      <c r="J18" s="47" t="str">
        <f t="shared" si="1"/>
        <v/>
      </c>
      <c r="K18" s="43"/>
      <c r="L18" s="48" t="str">
        <f t="shared" ca="1" si="2"/>
        <v/>
      </c>
      <c r="M18" s="38"/>
      <c r="N18" s="38"/>
      <c r="O18" s="39"/>
      <c r="P18" s="39"/>
      <c r="Q18" s="42"/>
    </row>
    <row r="19" spans="1:17" x14ac:dyDescent="0.3">
      <c r="A19" s="17" t="str">
        <f t="shared" si="3"/>
        <v/>
      </c>
      <c r="B19" s="45"/>
      <c r="C19" s="42"/>
      <c r="D19" s="42"/>
      <c r="E19" s="42"/>
      <c r="F19" s="30"/>
      <c r="G19" s="31"/>
      <c r="H19" s="31"/>
      <c r="I19" s="46" t="str">
        <f t="shared" si="0"/>
        <v/>
      </c>
      <c r="J19" s="47" t="str">
        <f t="shared" si="1"/>
        <v/>
      </c>
      <c r="K19" s="43"/>
      <c r="L19" s="48" t="str">
        <f t="shared" ca="1" si="2"/>
        <v/>
      </c>
      <c r="M19" s="38"/>
      <c r="N19" s="38"/>
      <c r="O19" s="39"/>
      <c r="P19" s="39"/>
      <c r="Q19" s="42"/>
    </row>
    <row r="20" spans="1:17" x14ac:dyDescent="0.3">
      <c r="A20" s="17" t="str">
        <f t="shared" si="3"/>
        <v/>
      </c>
      <c r="B20" s="45"/>
      <c r="C20" s="42"/>
      <c r="D20" s="42"/>
      <c r="E20" s="42"/>
      <c r="F20" s="30"/>
      <c r="G20" s="31"/>
      <c r="H20" s="31"/>
      <c r="I20" s="46" t="str">
        <f t="shared" si="0"/>
        <v/>
      </c>
      <c r="J20" s="47" t="str">
        <f t="shared" si="1"/>
        <v/>
      </c>
      <c r="K20" s="43"/>
      <c r="L20" s="48" t="str">
        <f t="shared" ca="1" si="2"/>
        <v/>
      </c>
      <c r="M20" s="38"/>
      <c r="N20" s="38"/>
      <c r="O20" s="39"/>
      <c r="P20" s="39"/>
      <c r="Q20" s="42"/>
    </row>
    <row r="21" spans="1:17" x14ac:dyDescent="0.3">
      <c r="A21" s="17" t="str">
        <f t="shared" si="3"/>
        <v/>
      </c>
      <c r="B21" s="45"/>
      <c r="C21" s="42"/>
      <c r="D21" s="42"/>
      <c r="E21" s="42"/>
      <c r="F21" s="30"/>
      <c r="G21" s="31"/>
      <c r="H21" s="31"/>
      <c r="I21" s="46" t="str">
        <f t="shared" si="0"/>
        <v/>
      </c>
      <c r="J21" s="47" t="str">
        <f t="shared" si="1"/>
        <v/>
      </c>
      <c r="K21" s="43"/>
      <c r="L21" s="48" t="str">
        <f t="shared" ca="1" si="2"/>
        <v/>
      </c>
      <c r="M21" s="38"/>
      <c r="N21" s="38"/>
      <c r="O21" s="39"/>
      <c r="P21" s="39"/>
      <c r="Q21" s="42"/>
    </row>
    <row r="22" spans="1:17" x14ac:dyDescent="0.3">
      <c r="A22" s="17" t="str">
        <f t="shared" si="3"/>
        <v/>
      </c>
      <c r="B22" s="45"/>
      <c r="C22" s="42"/>
      <c r="D22" s="42"/>
      <c r="E22" s="42"/>
      <c r="F22" s="30"/>
      <c r="G22" s="31"/>
      <c r="H22" s="31"/>
      <c r="I22" s="46" t="str">
        <f t="shared" si="0"/>
        <v/>
      </c>
      <c r="J22" s="47" t="str">
        <f t="shared" si="1"/>
        <v/>
      </c>
      <c r="K22" s="43"/>
      <c r="L22" s="48" t="str">
        <f t="shared" ca="1" si="2"/>
        <v/>
      </c>
      <c r="M22" s="38"/>
      <c r="N22" s="38"/>
      <c r="O22" s="39"/>
      <c r="P22" s="39"/>
      <c r="Q22" s="42"/>
    </row>
    <row r="23" spans="1:17" x14ac:dyDescent="0.3">
      <c r="A23" s="17" t="str">
        <f t="shared" si="3"/>
        <v/>
      </c>
      <c r="B23" s="45"/>
      <c r="C23" s="42"/>
      <c r="D23" s="42"/>
      <c r="E23" s="42"/>
      <c r="F23" s="30"/>
      <c r="G23" s="31"/>
      <c r="H23" s="31"/>
      <c r="I23" s="46" t="str">
        <f t="shared" si="0"/>
        <v/>
      </c>
      <c r="J23" s="47" t="str">
        <f t="shared" si="1"/>
        <v/>
      </c>
      <c r="K23" s="43"/>
      <c r="L23" s="48" t="str">
        <f t="shared" ca="1" si="2"/>
        <v/>
      </c>
      <c r="M23" s="38"/>
      <c r="N23" s="38"/>
      <c r="O23" s="39"/>
      <c r="P23" s="39"/>
      <c r="Q23" s="42"/>
    </row>
    <row r="24" spans="1:17" x14ac:dyDescent="0.3">
      <c r="A24" s="17" t="str">
        <f t="shared" si="3"/>
        <v/>
      </c>
      <c r="B24" s="45"/>
      <c r="C24" s="42"/>
      <c r="D24" s="42"/>
      <c r="E24" s="42"/>
      <c r="F24" s="30"/>
      <c r="G24" s="31"/>
      <c r="H24" s="31"/>
      <c r="I24" s="46" t="str">
        <f t="shared" si="0"/>
        <v/>
      </c>
      <c r="J24" s="47" t="str">
        <f t="shared" si="1"/>
        <v/>
      </c>
      <c r="K24" s="43"/>
      <c r="L24" s="48" t="str">
        <f t="shared" ca="1" si="2"/>
        <v/>
      </c>
      <c r="M24" s="38"/>
      <c r="N24" s="38"/>
      <c r="O24" s="39"/>
      <c r="P24" s="39"/>
      <c r="Q24" s="42"/>
    </row>
    <row r="25" spans="1:17" x14ac:dyDescent="0.3">
      <c r="A25" s="17" t="str">
        <f t="shared" si="3"/>
        <v/>
      </c>
      <c r="B25" s="45"/>
      <c r="C25" s="42"/>
      <c r="D25" s="42"/>
      <c r="E25" s="42"/>
      <c r="F25" s="30"/>
      <c r="G25" s="31"/>
      <c r="H25" s="31"/>
      <c r="I25" s="46" t="str">
        <f t="shared" si="0"/>
        <v/>
      </c>
      <c r="J25" s="47" t="str">
        <f t="shared" si="1"/>
        <v/>
      </c>
      <c r="K25" s="43"/>
      <c r="L25" s="48" t="str">
        <f t="shared" ca="1" si="2"/>
        <v/>
      </c>
      <c r="M25" s="38"/>
      <c r="N25" s="38"/>
      <c r="O25" s="39"/>
      <c r="P25" s="39"/>
      <c r="Q25" s="42"/>
    </row>
    <row r="26" spans="1:17" x14ac:dyDescent="0.3">
      <c r="A26" s="17" t="str">
        <f t="shared" si="3"/>
        <v/>
      </c>
      <c r="B26" s="45"/>
      <c r="C26" s="42"/>
      <c r="D26" s="42"/>
      <c r="E26" s="42"/>
      <c r="F26" s="30"/>
      <c r="G26" s="31"/>
      <c r="H26" s="31"/>
      <c r="I26" s="46" t="str">
        <f t="shared" si="0"/>
        <v/>
      </c>
      <c r="J26" s="47" t="str">
        <f t="shared" si="1"/>
        <v/>
      </c>
      <c r="K26" s="43"/>
      <c r="L26" s="48" t="str">
        <f t="shared" ca="1" si="2"/>
        <v/>
      </c>
      <c r="M26" s="38"/>
      <c r="N26" s="38"/>
      <c r="O26" s="39"/>
      <c r="P26" s="39"/>
      <c r="Q26" s="42"/>
    </row>
    <row r="27" spans="1:17" x14ac:dyDescent="0.3">
      <c r="A27" s="17" t="str">
        <f t="shared" si="3"/>
        <v/>
      </c>
      <c r="B27" s="45"/>
      <c r="C27" s="42"/>
      <c r="D27" s="42"/>
      <c r="E27" s="42"/>
      <c r="F27" s="30"/>
      <c r="G27" s="31"/>
      <c r="H27" s="31"/>
      <c r="I27" s="46" t="str">
        <f t="shared" si="0"/>
        <v/>
      </c>
      <c r="J27" s="47" t="str">
        <f t="shared" si="1"/>
        <v/>
      </c>
      <c r="K27" s="43"/>
      <c r="L27" s="48" t="str">
        <f t="shared" ca="1" si="2"/>
        <v/>
      </c>
      <c r="M27" s="38"/>
      <c r="N27" s="38"/>
      <c r="O27" s="39"/>
      <c r="P27" s="39"/>
      <c r="Q27" s="42"/>
    </row>
    <row r="28" spans="1:17" x14ac:dyDescent="0.3">
      <c r="A28" s="17" t="str">
        <f t="shared" si="3"/>
        <v/>
      </c>
      <c r="B28" s="45"/>
      <c r="C28" s="42"/>
      <c r="D28" s="42"/>
      <c r="E28" s="42"/>
      <c r="F28" s="30"/>
      <c r="G28" s="31"/>
      <c r="H28" s="31"/>
      <c r="I28" s="46" t="str">
        <f t="shared" si="0"/>
        <v/>
      </c>
      <c r="J28" s="47" t="str">
        <f t="shared" si="1"/>
        <v/>
      </c>
      <c r="K28" s="43"/>
      <c r="L28" s="48" t="str">
        <f t="shared" ca="1" si="2"/>
        <v/>
      </c>
      <c r="M28" s="38"/>
      <c r="N28" s="38"/>
      <c r="O28" s="39"/>
      <c r="P28" s="39"/>
      <c r="Q28" s="42"/>
    </row>
    <row r="29" spans="1:17" x14ac:dyDescent="0.3">
      <c r="A29" s="17" t="str">
        <f t="shared" si="3"/>
        <v/>
      </c>
      <c r="B29" s="45"/>
      <c r="C29" s="42"/>
      <c r="D29" s="42"/>
      <c r="E29" s="42"/>
      <c r="F29" s="30"/>
      <c r="G29" s="31"/>
      <c r="H29" s="31"/>
      <c r="I29" s="46" t="str">
        <f t="shared" si="0"/>
        <v/>
      </c>
      <c r="J29" s="47" t="str">
        <f t="shared" si="1"/>
        <v/>
      </c>
      <c r="K29" s="43"/>
      <c r="L29" s="48" t="str">
        <f t="shared" ca="1" si="2"/>
        <v/>
      </c>
      <c r="M29" s="38"/>
      <c r="N29" s="38"/>
      <c r="O29" s="39"/>
      <c r="P29" s="39"/>
      <c r="Q29" s="42"/>
    </row>
    <row r="30" spans="1:17" x14ac:dyDescent="0.3">
      <c r="A30" s="17" t="str">
        <f t="shared" si="3"/>
        <v/>
      </c>
      <c r="B30" s="45"/>
      <c r="C30" s="42"/>
      <c r="D30" s="42"/>
      <c r="E30" s="42"/>
      <c r="F30" s="30"/>
      <c r="G30" s="31"/>
      <c r="H30" s="31"/>
      <c r="I30" s="46" t="str">
        <f t="shared" si="0"/>
        <v/>
      </c>
      <c r="J30" s="47" t="str">
        <f t="shared" si="1"/>
        <v/>
      </c>
      <c r="K30" s="43"/>
      <c r="L30" s="48" t="str">
        <f t="shared" ca="1" si="2"/>
        <v/>
      </c>
      <c r="M30" s="38"/>
      <c r="N30" s="38"/>
      <c r="O30" s="39"/>
      <c r="P30" s="39"/>
      <c r="Q30" s="42"/>
    </row>
    <row r="31" spans="1:17" x14ac:dyDescent="0.3">
      <c r="A31" s="17" t="str">
        <f t="shared" si="3"/>
        <v/>
      </c>
      <c r="B31" s="45"/>
      <c r="C31" s="42"/>
      <c r="D31" s="42"/>
      <c r="E31" s="42"/>
      <c r="F31" s="30"/>
      <c r="G31" s="31"/>
      <c r="H31" s="31"/>
      <c r="I31" s="46" t="str">
        <f t="shared" si="0"/>
        <v/>
      </c>
      <c r="J31" s="47" t="str">
        <f t="shared" si="1"/>
        <v/>
      </c>
      <c r="K31" s="43"/>
      <c r="L31" s="48" t="str">
        <f t="shared" ca="1" si="2"/>
        <v/>
      </c>
      <c r="M31" s="38"/>
      <c r="N31" s="38"/>
      <c r="O31" s="39"/>
      <c r="P31" s="39"/>
      <c r="Q31" s="42"/>
    </row>
    <row r="32" spans="1:17" x14ac:dyDescent="0.3">
      <c r="A32" s="17" t="str">
        <f t="shared" si="3"/>
        <v/>
      </c>
      <c r="B32" s="45"/>
      <c r="C32" s="42"/>
      <c r="D32" s="42"/>
      <c r="E32" s="42"/>
      <c r="F32" s="30"/>
      <c r="G32" s="31"/>
      <c r="H32" s="31"/>
      <c r="I32" s="46" t="str">
        <f t="shared" si="0"/>
        <v/>
      </c>
      <c r="J32" s="47" t="str">
        <f t="shared" si="1"/>
        <v/>
      </c>
      <c r="K32" s="43"/>
      <c r="L32" s="48" t="str">
        <f t="shared" ca="1" si="2"/>
        <v/>
      </c>
      <c r="M32" s="38"/>
      <c r="N32" s="38"/>
      <c r="O32" s="39"/>
      <c r="P32" s="39"/>
      <c r="Q32" s="42"/>
    </row>
  </sheetData>
  <autoFilter ref="A4:Q32" xr:uid="{00000000-0009-0000-0000-000002000000}"/>
  <mergeCells count="2">
    <mergeCell ref="A1:Q1"/>
    <mergeCell ref="A2:Q2"/>
  </mergeCells>
  <conditionalFormatting sqref="I5:I32">
    <cfRule type="expression" dxfId="5" priority="6">
      <formula>N(I5)&gt;0</formula>
    </cfRule>
  </conditionalFormatting>
  <conditionalFormatting sqref="J5:J32">
    <cfRule type="dataBar" priority="8">
      <dataBar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{506051CB-116B-417E-91E0-ECD2E7633ED7}</x14:id>
        </ext>
      </extLst>
    </cfRule>
  </conditionalFormatting>
  <conditionalFormatting sqref="K5:K32">
    <cfRule type="expression" dxfId="4" priority="2">
      <formula>K5="Soldé"</formula>
    </cfRule>
    <cfRule type="expression" dxfId="3" priority="3">
      <formula>OR(K5="Encaissement partiel",K5="Facturé - non encaissé")</formula>
    </cfRule>
    <cfRule type="expression" dxfId="2" priority="4">
      <formula>OR(K5="Attente cotation fournisseur",K5="Offre envoyée - attente client",K5="Prospection")</formula>
    </cfRule>
    <cfRule type="expression" dxfId="1" priority="5">
      <formula>K5="Perdu"</formula>
    </cfRule>
  </conditionalFormatting>
  <conditionalFormatting sqref="O5:O32">
    <cfRule type="expression" dxfId="0" priority="7">
      <formula>AND(ISNUMBER(O5),O5&lt;TODAY(),K5&lt;&gt;"Soldé",K5&lt;&gt;"Perdu")</formula>
    </cfRule>
  </conditionalFormatting>
  <dataValidations count="1">
    <dataValidation type="whole" allowBlank="1" sqref="B5:B32" xr:uid="{00000000-0002-0000-0200-000001000000}">
      <formula1>2020</formula1>
      <formula2>2035</formula2>
    </dataValidation>
  </dataValidations>
  <pageMargins left="0.75" right="0.75" top="1" bottom="1" header="0.511811023622047" footer="0.511811023622047"/>
  <pageSetup fitToHeight="0" orientation="landscape" horizontalDpi="300" verticalDpi="300"/>
  <legacy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06051CB-116B-417E-91E0-ECD2E7633ED7}">
            <x14:dataBar axisPosition="none">
              <x14:cfvo type="num">
                <xm:f>0</xm:f>
              </x14:cfvo>
              <x14:cfvo type="num">
                <xm:f>1</xm:f>
              </x14:cfvo>
              <x14:negativeFillColor rgb="FF92D050"/>
            </x14:dataBar>
          </x14:cfRule>
          <xm:sqref>J5:J32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200-000000000000}">
          <x14:formula1>
            <xm:f>Listes!$A$2:$A$8</xm:f>
          </x14:formula1>
          <x14:formula2>
            <xm:f>0</xm:f>
          </x14:formula2>
          <xm:sqref>K5:K32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713AD5-A251-4811-B78E-76A84A2296E0}">
  <dimension ref="A2:C44"/>
  <sheetViews>
    <sheetView tabSelected="1" topLeftCell="A6" workbookViewId="0">
      <selection activeCell="G31" sqref="G31"/>
    </sheetView>
  </sheetViews>
  <sheetFormatPr baseColWidth="10" defaultRowHeight="14.4" x14ac:dyDescent="0.3"/>
  <cols>
    <col min="1" max="1" width="73.44140625" customWidth="1"/>
    <col min="2" max="2" width="14.33203125" bestFit="1" customWidth="1"/>
    <col min="3" max="3" width="16.109375" customWidth="1"/>
  </cols>
  <sheetData>
    <row r="2" spans="1:3" ht="15.6" x14ac:dyDescent="0.3">
      <c r="A2" s="144" t="s">
        <v>158</v>
      </c>
      <c r="B2" s="144"/>
      <c r="C2" s="144"/>
    </row>
    <row r="3" spans="1:3" ht="15.6" x14ac:dyDescent="0.3">
      <c r="A3" s="133"/>
      <c r="B3" s="121"/>
      <c r="C3" s="121"/>
    </row>
    <row r="4" spans="1:3" ht="15.6" x14ac:dyDescent="0.3">
      <c r="A4" s="133"/>
      <c r="B4" s="121"/>
      <c r="C4" s="121"/>
    </row>
    <row r="5" spans="1:3" ht="15.6" x14ac:dyDescent="0.3">
      <c r="A5" s="133"/>
      <c r="B5" s="121"/>
      <c r="C5" s="121"/>
    </row>
    <row r="6" spans="1:3" ht="16.2" thickBot="1" x14ac:dyDescent="0.35">
      <c r="A6" s="133"/>
      <c r="B6" s="121"/>
      <c r="C6" s="121"/>
    </row>
    <row r="7" spans="1:3" ht="15.6" x14ac:dyDescent="0.3">
      <c r="A7" s="133"/>
      <c r="B7" s="128" t="s">
        <v>36</v>
      </c>
      <c r="C7" s="129"/>
    </row>
    <row r="8" spans="1:3" ht="15.6" x14ac:dyDescent="0.3">
      <c r="A8" s="133"/>
      <c r="B8" s="130" t="s">
        <v>159</v>
      </c>
      <c r="C8" s="131"/>
    </row>
    <row r="9" spans="1:3" ht="15.6" x14ac:dyDescent="0.3">
      <c r="A9" s="133"/>
      <c r="B9" s="130" t="s">
        <v>160</v>
      </c>
      <c r="C9" s="131"/>
    </row>
    <row r="10" spans="1:3" ht="15.6" x14ac:dyDescent="0.3">
      <c r="A10" s="133"/>
      <c r="B10" s="130" t="s">
        <v>161</v>
      </c>
      <c r="C10" s="131"/>
    </row>
    <row r="11" spans="1:3" ht="15.6" x14ac:dyDescent="0.3">
      <c r="A11" s="133"/>
      <c r="B11" s="130" t="s">
        <v>162</v>
      </c>
      <c r="C11" s="131"/>
    </row>
    <row r="12" spans="1:3" ht="16.2" thickBot="1" x14ac:dyDescent="0.35">
      <c r="A12" s="133"/>
      <c r="B12" s="122"/>
      <c r="C12" s="123"/>
    </row>
    <row r="13" spans="1:3" ht="15.6" x14ac:dyDescent="0.3">
      <c r="A13" s="133"/>
      <c r="B13" s="121"/>
      <c r="C13" s="121"/>
    </row>
    <row r="14" spans="1:3" ht="15.6" x14ac:dyDescent="0.3">
      <c r="A14" s="133"/>
      <c r="B14" s="121"/>
      <c r="C14" s="121"/>
    </row>
    <row r="15" spans="1:3" ht="19.95" customHeight="1" x14ac:dyDescent="0.3">
      <c r="A15" s="134" t="s">
        <v>163</v>
      </c>
      <c r="B15" s="121"/>
      <c r="C15" s="121"/>
    </row>
    <row r="16" spans="1:3" ht="15.6" x14ac:dyDescent="0.3">
      <c r="A16" s="133"/>
      <c r="B16" s="121"/>
      <c r="C16" s="121"/>
    </row>
    <row r="17" spans="1:3" ht="19.95" customHeight="1" x14ac:dyDescent="0.3">
      <c r="A17" s="135" t="s">
        <v>156</v>
      </c>
      <c r="B17" s="145" t="s">
        <v>164</v>
      </c>
      <c r="C17" s="146"/>
    </row>
    <row r="18" spans="1:3" ht="33" customHeight="1" x14ac:dyDescent="0.3">
      <c r="A18" s="136" t="s">
        <v>165</v>
      </c>
      <c r="B18" s="147"/>
      <c r="C18" s="148"/>
    </row>
    <row r="19" spans="1:3" ht="19.95" customHeight="1" x14ac:dyDescent="0.3">
      <c r="A19" s="137" t="s">
        <v>166</v>
      </c>
      <c r="B19" s="150">
        <v>1130251</v>
      </c>
      <c r="C19" s="151"/>
    </row>
    <row r="20" spans="1:3" ht="19.95" customHeight="1" x14ac:dyDescent="0.3">
      <c r="A20" s="137" t="s">
        <v>167</v>
      </c>
      <c r="B20" s="149">
        <v>1000475</v>
      </c>
      <c r="C20" s="152"/>
    </row>
    <row r="21" spans="1:3" ht="19.95" customHeight="1" x14ac:dyDescent="0.3">
      <c r="A21" s="137" t="s">
        <v>168</v>
      </c>
      <c r="B21" s="149">
        <v>2756598</v>
      </c>
      <c r="C21" s="152"/>
    </row>
    <row r="22" spans="1:3" ht="19.95" customHeight="1" x14ac:dyDescent="0.3">
      <c r="A22" s="137" t="s">
        <v>169</v>
      </c>
      <c r="B22" s="149">
        <v>2917668</v>
      </c>
      <c r="C22" s="152"/>
    </row>
    <row r="23" spans="1:3" ht="19.95" customHeight="1" x14ac:dyDescent="0.3">
      <c r="A23" s="138" t="s">
        <v>170</v>
      </c>
      <c r="B23" s="153">
        <v>7804992</v>
      </c>
      <c r="C23" s="154"/>
    </row>
    <row r="24" spans="1:3" ht="19.95" customHeight="1" x14ac:dyDescent="0.3">
      <c r="A24" s="136" t="s">
        <v>171</v>
      </c>
      <c r="B24" s="147"/>
      <c r="C24" s="148"/>
    </row>
    <row r="25" spans="1:3" ht="19.95" customHeight="1" x14ac:dyDescent="0.3">
      <c r="A25" s="137" t="s">
        <v>172</v>
      </c>
      <c r="B25" s="155">
        <v>1974258</v>
      </c>
      <c r="C25" s="156"/>
    </row>
    <row r="26" spans="1:3" ht="19.95" customHeight="1" x14ac:dyDescent="0.3">
      <c r="A26" s="136" t="s">
        <v>173</v>
      </c>
      <c r="B26" s="147"/>
      <c r="C26" s="148"/>
    </row>
    <row r="27" spans="1:3" ht="19.95" customHeight="1" x14ac:dyDescent="0.3">
      <c r="A27" s="137" t="s">
        <v>174</v>
      </c>
      <c r="B27" s="155">
        <v>1770000</v>
      </c>
      <c r="C27" s="156"/>
    </row>
    <row r="28" spans="1:3" ht="30.6" x14ac:dyDescent="0.3">
      <c r="A28" s="136" t="s">
        <v>175</v>
      </c>
      <c r="B28" s="147"/>
      <c r="C28" s="148"/>
    </row>
    <row r="29" spans="1:3" ht="30.6" x14ac:dyDescent="0.3">
      <c r="A29" s="137" t="s">
        <v>176</v>
      </c>
      <c r="B29" s="157">
        <v>1150500</v>
      </c>
      <c r="C29" s="158"/>
    </row>
    <row r="30" spans="1:3" ht="30.6" x14ac:dyDescent="0.3">
      <c r="A30" s="137" t="s">
        <v>177</v>
      </c>
      <c r="B30" s="153">
        <v>4277099</v>
      </c>
      <c r="C30" s="154"/>
    </row>
    <row r="31" spans="1:3" ht="19.95" customHeight="1" x14ac:dyDescent="0.3">
      <c r="A31" s="136" t="s">
        <v>178</v>
      </c>
      <c r="B31" s="159">
        <v>16976849</v>
      </c>
      <c r="C31" s="160"/>
    </row>
    <row r="32" spans="1:3" ht="19.95" customHeight="1" x14ac:dyDescent="0.3">
      <c r="A32" s="139" t="s">
        <v>179</v>
      </c>
      <c r="B32" s="147"/>
      <c r="C32" s="148"/>
    </row>
    <row r="33" spans="1:3" ht="19.95" customHeight="1" x14ac:dyDescent="0.3">
      <c r="A33" s="140" t="s">
        <v>180</v>
      </c>
      <c r="B33" s="155">
        <v>1770000</v>
      </c>
      <c r="C33" s="156"/>
    </row>
    <row r="34" spans="1:3" ht="19.95" customHeight="1" x14ac:dyDescent="0.3">
      <c r="A34" s="140" t="s">
        <v>181</v>
      </c>
      <c r="B34" s="155">
        <v>2832000</v>
      </c>
      <c r="C34" s="156"/>
    </row>
    <row r="35" spans="1:3" ht="19.95" customHeight="1" x14ac:dyDescent="0.3">
      <c r="A35" s="133"/>
      <c r="B35" s="121"/>
      <c r="C35" s="121"/>
    </row>
    <row r="36" spans="1:3" ht="19.95" customHeight="1" x14ac:dyDescent="0.3">
      <c r="A36" s="141" t="s">
        <v>182</v>
      </c>
      <c r="B36" s="155">
        <v>21578849</v>
      </c>
      <c r="C36" s="156"/>
    </row>
    <row r="37" spans="1:3" ht="19.95" customHeight="1" x14ac:dyDescent="0.3">
      <c r="A37" s="142" t="s">
        <v>146</v>
      </c>
      <c r="B37" s="145" t="s">
        <v>183</v>
      </c>
      <c r="C37" s="146"/>
    </row>
    <row r="38" spans="1:3" ht="19.95" customHeight="1" x14ac:dyDescent="0.3">
      <c r="A38" s="142" t="s">
        <v>184</v>
      </c>
      <c r="B38" s="155">
        <v>21578849</v>
      </c>
      <c r="C38" s="156"/>
    </row>
    <row r="39" spans="1:3" ht="15.6" x14ac:dyDescent="0.3">
      <c r="A39" s="133"/>
      <c r="B39" s="121"/>
      <c r="C39" s="121"/>
    </row>
    <row r="40" spans="1:3" ht="60.6" customHeight="1" x14ac:dyDescent="0.3">
      <c r="A40" s="161" t="s">
        <v>185</v>
      </c>
      <c r="B40" s="161"/>
      <c r="C40" s="161"/>
    </row>
    <row r="41" spans="1:3" x14ac:dyDescent="0.3">
      <c r="A41" s="161"/>
      <c r="B41" s="161"/>
      <c r="C41" s="161"/>
    </row>
    <row r="42" spans="1:3" ht="15.6" x14ac:dyDescent="0.3">
      <c r="A42" s="133"/>
      <c r="B42" s="121"/>
      <c r="C42" s="121"/>
    </row>
    <row r="43" spans="1:3" ht="15.6" x14ac:dyDescent="0.3">
      <c r="A43" s="133"/>
      <c r="B43" s="121"/>
      <c r="C43" s="121"/>
    </row>
    <row r="44" spans="1:3" ht="16.8" x14ac:dyDescent="0.4">
      <c r="A44" s="133"/>
      <c r="B44" s="143" t="s">
        <v>186</v>
      </c>
      <c r="C44" s="143"/>
    </row>
  </sheetData>
  <mergeCells count="28">
    <mergeCell ref="B36:C36"/>
    <mergeCell ref="B37:C37"/>
    <mergeCell ref="B38:C38"/>
    <mergeCell ref="A40:C41"/>
    <mergeCell ref="B29:C29"/>
    <mergeCell ref="B30:C30"/>
    <mergeCell ref="B31:C31"/>
    <mergeCell ref="B32:C32"/>
    <mergeCell ref="B33:C33"/>
    <mergeCell ref="B34:C34"/>
    <mergeCell ref="B23:C23"/>
    <mergeCell ref="B24:C24"/>
    <mergeCell ref="B25:C25"/>
    <mergeCell ref="B26:C26"/>
    <mergeCell ref="B27:C27"/>
    <mergeCell ref="B28:C28"/>
    <mergeCell ref="B17:C17"/>
    <mergeCell ref="B18:C18"/>
    <mergeCell ref="B19:C19"/>
    <mergeCell ref="B20:C20"/>
    <mergeCell ref="B21:C21"/>
    <mergeCell ref="B22:C22"/>
    <mergeCell ref="A2:C2"/>
    <mergeCell ref="B7:C7"/>
    <mergeCell ref="B8:C8"/>
    <mergeCell ref="B9:C9"/>
    <mergeCell ref="B10:C10"/>
    <mergeCell ref="B11:C1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C9BD9D-CAB2-4DA3-892D-BF5391A53F14}">
  <dimension ref="A2:E30"/>
  <sheetViews>
    <sheetView topLeftCell="A6" workbookViewId="0">
      <selection activeCell="H15" sqref="H15"/>
    </sheetView>
  </sheetViews>
  <sheetFormatPr baseColWidth="10" defaultRowHeight="14.4" x14ac:dyDescent="0.3"/>
  <cols>
    <col min="1" max="1" width="27.5546875" customWidth="1"/>
    <col min="2" max="2" width="31.88671875" customWidth="1"/>
    <col min="5" max="5" width="16.5546875" customWidth="1"/>
  </cols>
  <sheetData>
    <row r="2" spans="1:5" x14ac:dyDescent="0.3">
      <c r="A2" s="70"/>
      <c r="B2" s="72"/>
      <c r="C2" s="162" t="s">
        <v>187</v>
      </c>
      <c r="D2" s="103"/>
      <c r="E2" s="103"/>
    </row>
    <row r="3" spans="1:5" x14ac:dyDescent="0.3">
      <c r="A3" s="70"/>
      <c r="B3" s="72"/>
      <c r="C3" s="71"/>
      <c r="D3" s="71"/>
      <c r="E3" s="71"/>
    </row>
    <row r="4" spans="1:5" ht="15" thickBot="1" x14ac:dyDescent="0.35">
      <c r="A4" s="70"/>
      <c r="B4" s="72"/>
      <c r="C4" s="71"/>
      <c r="D4" s="71"/>
      <c r="E4" s="71"/>
    </row>
    <row r="5" spans="1:5" x14ac:dyDescent="0.3">
      <c r="A5" s="70"/>
      <c r="B5" s="72"/>
      <c r="C5" s="104" t="s">
        <v>121</v>
      </c>
      <c r="D5" s="105"/>
      <c r="E5" s="105"/>
    </row>
    <row r="6" spans="1:5" x14ac:dyDescent="0.3">
      <c r="A6" s="70"/>
      <c r="B6" s="72"/>
      <c r="C6" s="106" t="s">
        <v>122</v>
      </c>
      <c r="D6" s="107"/>
      <c r="E6" s="107"/>
    </row>
    <row r="7" spans="1:5" x14ac:dyDescent="0.3">
      <c r="A7" s="70"/>
      <c r="B7" s="72"/>
      <c r="C7" s="108" t="s">
        <v>123</v>
      </c>
      <c r="D7" s="109"/>
      <c r="E7" s="109"/>
    </row>
    <row r="8" spans="1:5" x14ac:dyDescent="0.3">
      <c r="A8" s="70"/>
      <c r="B8" s="72"/>
      <c r="C8" s="108" t="s">
        <v>124</v>
      </c>
      <c r="D8" s="109"/>
      <c r="E8" s="109"/>
    </row>
    <row r="9" spans="1:5" x14ac:dyDescent="0.3">
      <c r="A9" s="70"/>
      <c r="B9" s="72"/>
      <c r="C9" s="108" t="s">
        <v>125</v>
      </c>
      <c r="D9" s="109"/>
      <c r="E9" s="109"/>
    </row>
    <row r="10" spans="1:5" ht="15" thickBot="1" x14ac:dyDescent="0.35">
      <c r="A10" s="70"/>
      <c r="B10" s="72"/>
      <c r="C10" s="110" t="s">
        <v>126</v>
      </c>
      <c r="D10" s="111"/>
      <c r="E10" s="111"/>
    </row>
    <row r="11" spans="1:5" x14ac:dyDescent="0.3">
      <c r="A11" s="70"/>
      <c r="B11" s="73"/>
      <c r="C11" s="71"/>
      <c r="D11" s="71"/>
      <c r="E11" s="71"/>
    </row>
    <row r="12" spans="1:5" x14ac:dyDescent="0.3">
      <c r="A12" s="70"/>
      <c r="B12" s="73"/>
      <c r="C12" s="71"/>
      <c r="D12" s="71"/>
      <c r="E12" s="71"/>
    </row>
    <row r="13" spans="1:5" x14ac:dyDescent="0.3">
      <c r="A13" s="74" t="s">
        <v>127</v>
      </c>
      <c r="B13" s="72"/>
      <c r="C13" s="71"/>
      <c r="D13" s="71"/>
      <c r="E13" s="71"/>
    </row>
    <row r="14" spans="1:5" ht="27.6" x14ac:dyDescent="0.3">
      <c r="A14" s="75" t="s">
        <v>128</v>
      </c>
      <c r="B14" s="76" t="s">
        <v>129</v>
      </c>
      <c r="C14" s="77" t="s">
        <v>130</v>
      </c>
      <c r="D14" s="78" t="s">
        <v>131</v>
      </c>
      <c r="E14" s="77" t="s">
        <v>132</v>
      </c>
    </row>
    <row r="15" spans="1:5" ht="69" x14ac:dyDescent="0.3">
      <c r="A15" s="79"/>
      <c r="B15" s="80" t="s">
        <v>133</v>
      </c>
      <c r="C15" s="81"/>
      <c r="D15" s="82"/>
      <c r="E15" s="81"/>
    </row>
    <row r="16" spans="1:5" ht="55.2" x14ac:dyDescent="0.3">
      <c r="A16" s="83" t="s">
        <v>134</v>
      </c>
      <c r="B16" s="84" t="s">
        <v>135</v>
      </c>
      <c r="C16" s="85">
        <v>11400</v>
      </c>
      <c r="D16" s="86">
        <v>400</v>
      </c>
      <c r="E16" s="87" t="s">
        <v>136</v>
      </c>
    </row>
    <row r="17" spans="1:5" ht="55.8" x14ac:dyDescent="0.3">
      <c r="A17" s="83" t="s">
        <v>137</v>
      </c>
      <c r="B17" s="89" t="s">
        <v>138</v>
      </c>
      <c r="C17" s="85">
        <v>1800</v>
      </c>
      <c r="D17" s="90">
        <v>400</v>
      </c>
      <c r="E17" s="87" t="s">
        <v>139</v>
      </c>
    </row>
    <row r="18" spans="1:5" ht="28.2" x14ac:dyDescent="0.3">
      <c r="A18" s="83"/>
      <c r="B18" s="91" t="s">
        <v>140</v>
      </c>
      <c r="C18" s="88"/>
      <c r="D18" s="90"/>
      <c r="E18" s="87"/>
    </row>
    <row r="19" spans="1:5" ht="97.2" x14ac:dyDescent="0.3">
      <c r="A19" s="83" t="s">
        <v>141</v>
      </c>
      <c r="B19" s="89" t="s">
        <v>142</v>
      </c>
      <c r="C19" s="85">
        <v>2103000</v>
      </c>
      <c r="D19" s="90">
        <v>1</v>
      </c>
      <c r="E19" s="87" t="s">
        <v>143</v>
      </c>
    </row>
    <row r="20" spans="1:5" x14ac:dyDescent="0.3">
      <c r="A20" s="92"/>
      <c r="B20" s="93"/>
      <c r="C20" s="94"/>
      <c r="D20" s="95"/>
      <c r="E20" s="94"/>
    </row>
    <row r="21" spans="1:5" x14ac:dyDescent="0.3">
      <c r="A21" s="70"/>
      <c r="B21" s="72"/>
      <c r="C21" s="112" t="s">
        <v>144</v>
      </c>
      <c r="D21" s="113"/>
      <c r="E21" s="96" t="s">
        <v>145</v>
      </c>
    </row>
    <row r="22" spans="1:5" x14ac:dyDescent="0.3">
      <c r="A22" s="70"/>
      <c r="B22" s="72"/>
      <c r="C22" s="114" t="s">
        <v>146</v>
      </c>
      <c r="D22" s="115"/>
      <c r="E22" s="97" t="s">
        <v>147</v>
      </c>
    </row>
    <row r="23" spans="1:5" ht="27.6" customHeight="1" x14ac:dyDescent="0.3">
      <c r="A23" s="70"/>
      <c r="B23" s="72"/>
      <c r="C23" s="116" t="s">
        <v>148</v>
      </c>
      <c r="D23" s="117"/>
      <c r="E23" s="98" t="s">
        <v>149</v>
      </c>
    </row>
    <row r="24" spans="1:5" x14ac:dyDescent="0.3">
      <c r="A24" s="70"/>
      <c r="B24" s="72"/>
      <c r="C24" s="118" t="s">
        <v>150</v>
      </c>
      <c r="D24" s="119"/>
      <c r="E24" s="99" t="s">
        <v>151</v>
      </c>
    </row>
    <row r="25" spans="1:5" x14ac:dyDescent="0.3">
      <c r="A25" s="70"/>
      <c r="B25" s="72" t="s">
        <v>152</v>
      </c>
      <c r="C25" s="71"/>
      <c r="D25" s="71"/>
      <c r="E25" s="100"/>
    </row>
    <row r="26" spans="1:5" x14ac:dyDescent="0.3">
      <c r="A26" s="101" t="s">
        <v>153</v>
      </c>
      <c r="B26" s="101"/>
      <c r="C26" s="101"/>
      <c r="D26" s="101"/>
      <c r="E26" s="70"/>
    </row>
    <row r="27" spans="1:5" ht="27.6" customHeight="1" x14ac:dyDescent="0.3">
      <c r="A27" s="120" t="s">
        <v>154</v>
      </c>
      <c r="B27" s="120"/>
      <c r="C27" s="120"/>
      <c r="D27" s="120"/>
      <c r="E27" s="120"/>
    </row>
    <row r="28" spans="1:5" x14ac:dyDescent="0.3">
      <c r="A28" s="70"/>
      <c r="B28" s="102"/>
      <c r="C28" s="71"/>
      <c r="D28" s="71"/>
      <c r="E28" s="71"/>
    </row>
    <row r="29" spans="1:5" x14ac:dyDescent="0.3">
      <c r="A29" s="70"/>
      <c r="B29" s="102"/>
      <c r="C29" s="71"/>
      <c r="D29" s="71"/>
      <c r="E29" s="71"/>
    </row>
    <row r="30" spans="1:5" x14ac:dyDescent="0.3">
      <c r="A30" s="70"/>
      <c r="B30" s="72"/>
      <c r="C30" s="71"/>
      <c r="D30" s="100" t="s">
        <v>155</v>
      </c>
      <c r="E30" s="70"/>
    </row>
  </sheetData>
  <mergeCells count="12">
    <mergeCell ref="C2:E2"/>
    <mergeCell ref="C5:E5"/>
    <mergeCell ref="C6:E6"/>
    <mergeCell ref="C7:E7"/>
    <mergeCell ref="C8:E8"/>
    <mergeCell ref="C9:E9"/>
    <mergeCell ref="C10:E10"/>
    <mergeCell ref="C21:D21"/>
    <mergeCell ref="C22:D22"/>
    <mergeCell ref="C23:D23"/>
    <mergeCell ref="C24:D24"/>
    <mergeCell ref="A27:E27"/>
  </mergeCells>
  <hyperlinks>
    <hyperlink ref="C10" r:id="rId1" display="mailto:bziega@neuronestech.com" xr:uid="{9F8809B7-DA24-46E8-B2AE-8B7E23432E2D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AD7E1B-F29F-4108-B47A-D8239924D0FD}">
  <dimension ref="A1:G35"/>
  <sheetViews>
    <sheetView topLeftCell="A16" workbookViewId="0">
      <selection activeCell="B11" sqref="B11"/>
    </sheetView>
  </sheetViews>
  <sheetFormatPr baseColWidth="10" defaultColWidth="8.6640625" defaultRowHeight="14.4" x14ac:dyDescent="0.3"/>
  <cols>
    <col min="1" max="1" width="6" customWidth="1"/>
    <col min="2" max="2" width="62" customWidth="1"/>
    <col min="3" max="3" width="16" customWidth="1"/>
    <col min="4" max="4" width="7" customWidth="1"/>
    <col min="5" max="5" width="12" customWidth="1"/>
    <col min="6" max="6" width="10" customWidth="1"/>
    <col min="7" max="7" width="18" customWidth="1"/>
  </cols>
  <sheetData>
    <row r="1" spans="1:7" ht="27.75" customHeight="1" x14ac:dyDescent="0.3">
      <c r="A1" s="167" t="s">
        <v>189</v>
      </c>
      <c r="B1" s="167"/>
      <c r="C1" s="167"/>
      <c r="D1" s="167"/>
      <c r="E1" s="167"/>
      <c r="F1" s="167"/>
      <c r="G1" s="167"/>
    </row>
    <row r="3" spans="1:7" x14ac:dyDescent="0.3">
      <c r="B3" s="168" t="s">
        <v>190</v>
      </c>
      <c r="C3" s="169" t="s">
        <v>191</v>
      </c>
      <c r="D3" s="169"/>
      <c r="E3" s="169"/>
      <c r="F3" s="169"/>
      <c r="G3" s="169"/>
    </row>
    <row r="4" spans="1:7" x14ac:dyDescent="0.3">
      <c r="B4" s="170" t="s">
        <v>192</v>
      </c>
      <c r="C4" s="171" t="s">
        <v>193</v>
      </c>
      <c r="D4" s="171"/>
      <c r="E4" s="171"/>
      <c r="F4" s="171"/>
      <c r="G4" s="171"/>
    </row>
    <row r="5" spans="1:7" x14ac:dyDescent="0.3">
      <c r="B5" s="170" t="s">
        <v>194</v>
      </c>
      <c r="C5" s="171" t="s">
        <v>195</v>
      </c>
      <c r="D5" s="171"/>
      <c r="E5" s="171"/>
      <c r="F5" s="171"/>
      <c r="G5" s="171"/>
    </row>
    <row r="6" spans="1:7" x14ac:dyDescent="0.3">
      <c r="B6" s="170" t="s">
        <v>196</v>
      </c>
      <c r="C6" s="171" t="s">
        <v>197</v>
      </c>
      <c r="D6" s="171"/>
      <c r="E6" s="171"/>
      <c r="F6" s="171"/>
      <c r="G6" s="171"/>
    </row>
    <row r="7" spans="1:7" x14ac:dyDescent="0.3">
      <c r="B7" s="170" t="s">
        <v>198</v>
      </c>
      <c r="C7" s="171" t="s">
        <v>199</v>
      </c>
      <c r="D7" s="171"/>
      <c r="E7" s="171"/>
      <c r="F7" s="171"/>
      <c r="G7" s="171"/>
    </row>
    <row r="8" spans="1:7" x14ac:dyDescent="0.3">
      <c r="B8" s="170" t="s">
        <v>200</v>
      </c>
      <c r="C8" s="169"/>
      <c r="D8" s="169"/>
      <c r="E8" s="169"/>
      <c r="F8" s="169"/>
      <c r="G8" s="169"/>
    </row>
    <row r="9" spans="1:7" x14ac:dyDescent="0.3">
      <c r="B9" s="170" t="s">
        <v>201</v>
      </c>
      <c r="C9" s="171" t="s">
        <v>202</v>
      </c>
      <c r="D9" s="171"/>
      <c r="E9" s="171"/>
      <c r="F9" s="171"/>
      <c r="G9" s="171"/>
    </row>
    <row r="10" spans="1:7" x14ac:dyDescent="0.3">
      <c r="B10" s="170" t="s">
        <v>203</v>
      </c>
      <c r="C10" s="171" t="s">
        <v>204</v>
      </c>
      <c r="D10" s="171"/>
      <c r="E10" s="171"/>
      <c r="F10" s="171"/>
      <c r="G10" s="171"/>
    </row>
    <row r="11" spans="1:7" x14ac:dyDescent="0.3">
      <c r="B11" s="170" t="s">
        <v>205</v>
      </c>
      <c r="C11" s="171" t="s">
        <v>206</v>
      </c>
      <c r="D11" s="171"/>
      <c r="E11" s="171"/>
      <c r="F11" s="171"/>
      <c r="G11" s="171"/>
    </row>
    <row r="13" spans="1:7" x14ac:dyDescent="0.3">
      <c r="A13" s="172" t="s">
        <v>45</v>
      </c>
      <c r="B13" s="172" t="s">
        <v>129</v>
      </c>
      <c r="C13" s="172" t="s">
        <v>207</v>
      </c>
      <c r="D13" s="172" t="s">
        <v>208</v>
      </c>
      <c r="E13" s="172" t="s">
        <v>209</v>
      </c>
      <c r="F13" s="172" t="s">
        <v>210</v>
      </c>
      <c r="G13" s="172" t="s">
        <v>211</v>
      </c>
    </row>
    <row r="14" spans="1:7" ht="39.6" x14ac:dyDescent="0.3">
      <c r="A14" s="173">
        <v>1</v>
      </c>
      <c r="B14" s="174" t="s">
        <v>212</v>
      </c>
      <c r="C14" s="175">
        <v>9177101</v>
      </c>
      <c r="D14" s="176">
        <v>1</v>
      </c>
      <c r="E14" s="173" t="s">
        <v>213</v>
      </c>
      <c r="F14" s="177">
        <v>0</v>
      </c>
      <c r="G14" s="178">
        <f t="shared" ref="G14:G22" si="0">C14*D14*(1-F14)</f>
        <v>9177101</v>
      </c>
    </row>
    <row r="15" spans="1:7" ht="26.4" x14ac:dyDescent="0.3">
      <c r="A15" s="179">
        <v>2</v>
      </c>
      <c r="B15" s="180" t="s">
        <v>214</v>
      </c>
      <c r="C15" s="181">
        <v>4350685</v>
      </c>
      <c r="D15" s="182">
        <v>1</v>
      </c>
      <c r="E15" s="179" t="s">
        <v>213</v>
      </c>
      <c r="F15" s="183">
        <v>0</v>
      </c>
      <c r="G15" s="184">
        <f t="shared" si="0"/>
        <v>4350685</v>
      </c>
    </row>
    <row r="16" spans="1:7" ht="39.6" x14ac:dyDescent="0.3">
      <c r="A16" s="173">
        <v>3</v>
      </c>
      <c r="B16" s="174" t="s">
        <v>215</v>
      </c>
      <c r="C16" s="175">
        <v>22761646</v>
      </c>
      <c r="D16" s="176">
        <v>1</v>
      </c>
      <c r="E16" s="173" t="s">
        <v>213</v>
      </c>
      <c r="F16" s="177">
        <v>0</v>
      </c>
      <c r="G16" s="178">
        <f t="shared" si="0"/>
        <v>22761646</v>
      </c>
    </row>
    <row r="17" spans="1:7" x14ac:dyDescent="0.3">
      <c r="A17" s="179">
        <v>4</v>
      </c>
      <c r="B17" s="180" t="s">
        <v>216</v>
      </c>
      <c r="C17" s="181">
        <v>13936063</v>
      </c>
      <c r="D17" s="182">
        <v>1</v>
      </c>
      <c r="E17" s="179" t="s">
        <v>213</v>
      </c>
      <c r="F17" s="183">
        <v>0</v>
      </c>
      <c r="G17" s="184">
        <f t="shared" si="0"/>
        <v>13936063</v>
      </c>
    </row>
    <row r="18" spans="1:7" ht="39.6" x14ac:dyDescent="0.3">
      <c r="A18" s="173">
        <v>5</v>
      </c>
      <c r="B18" s="174" t="s">
        <v>217</v>
      </c>
      <c r="C18" s="175">
        <v>5963842</v>
      </c>
      <c r="D18" s="176">
        <v>1</v>
      </c>
      <c r="E18" s="173" t="s">
        <v>213</v>
      </c>
      <c r="F18" s="177">
        <v>0</v>
      </c>
      <c r="G18" s="178">
        <f t="shared" si="0"/>
        <v>5963842</v>
      </c>
    </row>
    <row r="19" spans="1:7" x14ac:dyDescent="0.3">
      <c r="A19" s="179">
        <v>6</v>
      </c>
      <c r="B19" s="180" t="s">
        <v>218</v>
      </c>
      <c r="C19" s="181">
        <v>4453628</v>
      </c>
      <c r="D19" s="182">
        <v>1</v>
      </c>
      <c r="E19" s="179" t="s">
        <v>213</v>
      </c>
      <c r="F19" s="183">
        <v>0</v>
      </c>
      <c r="G19" s="184">
        <f t="shared" si="0"/>
        <v>4453628</v>
      </c>
    </row>
    <row r="20" spans="1:7" x14ac:dyDescent="0.3">
      <c r="A20" s="173">
        <v>7</v>
      </c>
      <c r="B20" s="174" t="s">
        <v>219</v>
      </c>
      <c r="C20" s="175">
        <v>3979359</v>
      </c>
      <c r="D20" s="176">
        <v>1</v>
      </c>
      <c r="E20" s="173" t="s">
        <v>213</v>
      </c>
      <c r="F20" s="177">
        <v>0</v>
      </c>
      <c r="G20" s="178">
        <f t="shared" si="0"/>
        <v>3979359</v>
      </c>
    </row>
    <row r="21" spans="1:7" ht="26.4" x14ac:dyDescent="0.3">
      <c r="A21" s="179">
        <v>8</v>
      </c>
      <c r="B21" s="180" t="s">
        <v>220</v>
      </c>
      <c r="C21" s="181">
        <v>3442178</v>
      </c>
      <c r="D21" s="182">
        <v>1</v>
      </c>
      <c r="E21" s="179" t="s">
        <v>213</v>
      </c>
      <c r="F21" s="183">
        <v>0</v>
      </c>
      <c r="G21" s="184">
        <f t="shared" si="0"/>
        <v>3442178</v>
      </c>
    </row>
    <row r="22" spans="1:7" ht="26.4" x14ac:dyDescent="0.3">
      <c r="A22" s="173">
        <v>9</v>
      </c>
      <c r="B22" s="174" t="s">
        <v>221</v>
      </c>
      <c r="C22" s="175">
        <v>1735190</v>
      </c>
      <c r="D22" s="176">
        <v>1</v>
      </c>
      <c r="E22" s="173" t="s">
        <v>213</v>
      </c>
      <c r="F22" s="177">
        <v>0</v>
      </c>
      <c r="G22" s="178">
        <f t="shared" si="0"/>
        <v>1735190</v>
      </c>
    </row>
    <row r="24" spans="1:7" x14ac:dyDescent="0.3">
      <c r="D24" s="185" t="s">
        <v>222</v>
      </c>
      <c r="E24" s="185"/>
      <c r="F24" s="185"/>
      <c r="G24" s="186">
        <f>SUM(G14:G22)</f>
        <v>69799692</v>
      </c>
    </row>
    <row r="25" spans="1:7" x14ac:dyDescent="0.3">
      <c r="D25" s="185" t="s">
        <v>223</v>
      </c>
      <c r="E25" s="185"/>
      <c r="F25" s="185"/>
      <c r="G25" s="186">
        <f>ROUND(G24*C32,0)</f>
        <v>3489985</v>
      </c>
    </row>
    <row r="26" spans="1:7" x14ac:dyDescent="0.3">
      <c r="D26" s="185" t="s">
        <v>224</v>
      </c>
      <c r="E26" s="185"/>
      <c r="F26" s="185"/>
      <c r="G26" s="186">
        <f>G24-G25</f>
        <v>66309707</v>
      </c>
    </row>
    <row r="27" spans="1:7" x14ac:dyDescent="0.3">
      <c r="D27" s="185" t="s">
        <v>225</v>
      </c>
      <c r="E27" s="185"/>
      <c r="F27" s="185"/>
      <c r="G27" s="187">
        <v>0</v>
      </c>
    </row>
    <row r="28" spans="1:7" x14ac:dyDescent="0.3">
      <c r="D28" s="185" t="s">
        <v>184</v>
      </c>
      <c r="E28" s="185"/>
      <c r="F28" s="185"/>
      <c r="G28" s="186">
        <f>G26+G27</f>
        <v>66309707</v>
      </c>
    </row>
    <row r="29" spans="1:7" x14ac:dyDescent="0.3">
      <c r="D29" s="185" t="s">
        <v>226</v>
      </c>
      <c r="E29" s="185"/>
      <c r="F29" s="185"/>
      <c r="G29" s="187">
        <v>0</v>
      </c>
    </row>
    <row r="30" spans="1:7" x14ac:dyDescent="0.3">
      <c r="D30" s="188" t="s">
        <v>227</v>
      </c>
      <c r="E30" s="188"/>
      <c r="F30" s="188"/>
      <c r="G30" s="189">
        <f>G28+G29</f>
        <v>66309707</v>
      </c>
    </row>
    <row r="32" spans="1:7" x14ac:dyDescent="0.3">
      <c r="B32" s="190" t="s">
        <v>228</v>
      </c>
      <c r="C32" s="191">
        <v>0.05</v>
      </c>
    </row>
    <row r="34" spans="1:7" ht="27.75" customHeight="1" x14ac:dyDescent="0.3">
      <c r="A34" s="192" t="s">
        <v>229</v>
      </c>
      <c r="B34" s="192"/>
      <c r="C34" s="192"/>
      <c r="D34" s="192"/>
      <c r="E34" s="192"/>
      <c r="F34" s="192"/>
      <c r="G34" s="192"/>
    </row>
    <row r="35" spans="1:7" x14ac:dyDescent="0.3">
      <c r="A35" s="193" t="s">
        <v>230</v>
      </c>
      <c r="B35" s="193"/>
      <c r="C35" s="193"/>
      <c r="D35" s="193"/>
      <c r="E35" s="193"/>
      <c r="F35" s="193"/>
      <c r="G35" s="193"/>
    </row>
  </sheetData>
  <mergeCells count="19">
    <mergeCell ref="A35:G35"/>
    <mergeCell ref="D26:F26"/>
    <mergeCell ref="D27:F27"/>
    <mergeCell ref="D28:F28"/>
    <mergeCell ref="D29:F29"/>
    <mergeCell ref="D30:F30"/>
    <mergeCell ref="A34:G34"/>
    <mergeCell ref="C8:G8"/>
    <mergeCell ref="C9:G9"/>
    <mergeCell ref="C10:G10"/>
    <mergeCell ref="C11:G11"/>
    <mergeCell ref="D24:F24"/>
    <mergeCell ref="D25:F25"/>
    <mergeCell ref="A1:G1"/>
    <mergeCell ref="C3:G3"/>
    <mergeCell ref="C4:G4"/>
    <mergeCell ref="C5:G5"/>
    <mergeCell ref="C6:G6"/>
    <mergeCell ref="C7:G7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4E8436-31F4-4EF9-84BC-B82C93F56892}">
  <dimension ref="A1:G26"/>
  <sheetViews>
    <sheetView workbookViewId="0">
      <selection sqref="A1:G23"/>
    </sheetView>
  </sheetViews>
  <sheetFormatPr baseColWidth="10" defaultRowHeight="14.4" x14ac:dyDescent="0.3"/>
  <cols>
    <col min="1" max="1" width="51.5546875" customWidth="1"/>
    <col min="2" max="2" width="11.5546875" customWidth="1"/>
    <col min="3" max="3" width="24.109375" customWidth="1"/>
    <col min="4" max="4" width="14.77734375" bestFit="1" customWidth="1"/>
  </cols>
  <sheetData>
    <row r="1" spans="1:7" ht="17.399999999999999" x14ac:dyDescent="0.3">
      <c r="A1" s="167" t="s">
        <v>240</v>
      </c>
      <c r="B1" s="167"/>
      <c r="C1" s="167"/>
      <c r="D1" s="167"/>
      <c r="E1" s="167"/>
      <c r="F1" s="167"/>
      <c r="G1" s="167"/>
    </row>
    <row r="2" spans="1:7" x14ac:dyDescent="0.3">
      <c r="A2" s="201"/>
      <c r="B2" s="201"/>
      <c r="C2" s="201"/>
      <c r="D2" s="201"/>
      <c r="E2" s="201"/>
      <c r="F2" s="201"/>
      <c r="G2" s="201"/>
    </row>
    <row r="3" spans="1:7" x14ac:dyDescent="0.3">
      <c r="A3" s="169" t="s">
        <v>190</v>
      </c>
      <c r="B3" s="169"/>
      <c r="C3" s="169" t="s">
        <v>191</v>
      </c>
      <c r="D3" s="169"/>
      <c r="E3" s="169"/>
      <c r="F3" s="169"/>
      <c r="G3" s="169"/>
    </row>
    <row r="4" spans="1:7" x14ac:dyDescent="0.3">
      <c r="A4" s="171" t="s">
        <v>192</v>
      </c>
      <c r="B4" s="171"/>
      <c r="C4" s="171" t="s">
        <v>241</v>
      </c>
      <c r="D4" s="171"/>
      <c r="E4" s="171"/>
      <c r="F4" s="171"/>
      <c r="G4" s="171"/>
    </row>
    <row r="5" spans="1:7" x14ac:dyDescent="0.3">
      <c r="A5" s="171" t="s">
        <v>194</v>
      </c>
      <c r="B5" s="171"/>
      <c r="C5" s="171" t="s">
        <v>242</v>
      </c>
      <c r="D5" s="171"/>
      <c r="E5" s="171"/>
      <c r="F5" s="171"/>
      <c r="G5" s="171"/>
    </row>
    <row r="6" spans="1:7" x14ac:dyDescent="0.3">
      <c r="A6" s="171" t="s">
        <v>196</v>
      </c>
      <c r="B6" s="171"/>
      <c r="C6" s="171" t="s">
        <v>234</v>
      </c>
      <c r="D6" s="171"/>
      <c r="E6" s="171"/>
      <c r="F6" s="171"/>
      <c r="G6" s="171"/>
    </row>
    <row r="7" spans="1:7" x14ac:dyDescent="0.3">
      <c r="A7" s="171" t="s">
        <v>198</v>
      </c>
      <c r="B7" s="171"/>
      <c r="C7" s="171" t="s">
        <v>243</v>
      </c>
      <c r="D7" s="171"/>
      <c r="E7" s="171"/>
      <c r="F7" s="171"/>
      <c r="G7" s="171"/>
    </row>
    <row r="8" spans="1:7" x14ac:dyDescent="0.3">
      <c r="A8" s="171" t="s">
        <v>200</v>
      </c>
      <c r="B8" s="171"/>
      <c r="C8" s="169"/>
      <c r="D8" s="169"/>
      <c r="E8" s="169"/>
      <c r="F8" s="169"/>
      <c r="G8" s="169"/>
    </row>
    <row r="9" spans="1:7" x14ac:dyDescent="0.3">
      <c r="A9" s="171" t="s">
        <v>201</v>
      </c>
      <c r="B9" s="171"/>
      <c r="C9" s="171" t="s">
        <v>244</v>
      </c>
      <c r="D9" s="171"/>
      <c r="E9" s="171"/>
      <c r="F9" s="171"/>
      <c r="G9" s="171"/>
    </row>
    <row r="10" spans="1:7" x14ac:dyDescent="0.3">
      <c r="A10" s="171" t="s">
        <v>203</v>
      </c>
      <c r="B10" s="171"/>
      <c r="C10" s="171" t="s">
        <v>204</v>
      </c>
      <c r="D10" s="171"/>
      <c r="E10" s="171"/>
      <c r="F10" s="171"/>
      <c r="G10" s="171"/>
    </row>
    <row r="11" spans="1:7" x14ac:dyDescent="0.3">
      <c r="A11" s="171" t="s">
        <v>205</v>
      </c>
      <c r="B11" s="171"/>
      <c r="C11" s="171" t="s">
        <v>206</v>
      </c>
      <c r="D11" s="171"/>
      <c r="E11" s="171"/>
      <c r="F11" s="171"/>
      <c r="G11" s="171"/>
    </row>
    <row r="12" spans="1:7" ht="15" x14ac:dyDescent="0.3">
      <c r="A12" s="125"/>
      <c r="B12" s="194"/>
      <c r="C12" s="195"/>
      <c r="D12" s="126"/>
      <c r="E12" s="201"/>
      <c r="F12" s="201"/>
      <c r="G12" s="201"/>
    </row>
    <row r="13" spans="1:7" ht="28.2" customHeight="1" x14ac:dyDescent="0.3">
      <c r="A13" s="213" t="s">
        <v>128</v>
      </c>
      <c r="B13" s="213" t="s">
        <v>129</v>
      </c>
      <c r="C13" s="213" t="s">
        <v>207</v>
      </c>
      <c r="D13" s="213" t="s">
        <v>208</v>
      </c>
      <c r="E13" s="213" t="s">
        <v>209</v>
      </c>
      <c r="F13" s="213" t="s">
        <v>210</v>
      </c>
      <c r="G13" s="213" t="s">
        <v>211</v>
      </c>
    </row>
    <row r="14" spans="1:7" ht="14.4" customHeight="1" x14ac:dyDescent="0.3">
      <c r="A14" s="214"/>
      <c r="B14" s="214" t="s">
        <v>245</v>
      </c>
      <c r="C14" s="215">
        <v>28766400</v>
      </c>
      <c r="D14" s="216">
        <v>1</v>
      </c>
      <c r="E14" s="217" t="s">
        <v>213</v>
      </c>
      <c r="F14" s="218">
        <v>0</v>
      </c>
      <c r="G14" s="219">
        <v>28766400</v>
      </c>
    </row>
    <row r="15" spans="1:7" ht="14.4" customHeight="1" x14ac:dyDescent="0.3">
      <c r="A15" s="196"/>
      <c r="B15" s="197"/>
      <c r="C15" s="198"/>
      <c r="D15" s="199"/>
      <c r="E15" s="201"/>
      <c r="F15" s="201"/>
      <c r="G15" s="201"/>
    </row>
    <row r="16" spans="1:7" ht="14.4" customHeight="1" x14ac:dyDescent="0.3">
      <c r="A16" s="212"/>
      <c r="B16" s="212"/>
      <c r="C16" s="212"/>
      <c r="D16" s="185" t="s">
        <v>222</v>
      </c>
      <c r="E16" s="185"/>
      <c r="F16" s="185"/>
      <c r="G16" s="220">
        <v>28766400</v>
      </c>
    </row>
    <row r="17" spans="1:7" x14ac:dyDescent="0.3">
      <c r="A17" s="212"/>
      <c r="B17" s="212"/>
      <c r="C17" s="212"/>
      <c r="D17" s="185" t="s">
        <v>225</v>
      </c>
      <c r="E17" s="185"/>
      <c r="F17" s="185"/>
      <c r="G17" s="221">
        <v>0</v>
      </c>
    </row>
    <row r="18" spans="1:7" x14ac:dyDescent="0.3">
      <c r="A18" s="212"/>
      <c r="B18" s="212"/>
      <c r="C18" s="212"/>
      <c r="D18" s="185" t="s">
        <v>184</v>
      </c>
      <c r="E18" s="185"/>
      <c r="F18" s="185"/>
      <c r="G18" s="220">
        <v>28766400</v>
      </c>
    </row>
    <row r="19" spans="1:7" x14ac:dyDescent="0.3">
      <c r="A19" s="212"/>
      <c r="B19" s="212"/>
      <c r="C19" s="212"/>
      <c r="D19" s="185" t="s">
        <v>226</v>
      </c>
      <c r="E19" s="185"/>
      <c r="F19" s="185"/>
      <c r="G19" s="221">
        <v>0</v>
      </c>
    </row>
    <row r="20" spans="1:7" x14ac:dyDescent="0.3">
      <c r="A20" s="212"/>
      <c r="B20" s="212"/>
      <c r="C20" s="212"/>
      <c r="D20" s="188" t="s">
        <v>227</v>
      </c>
      <c r="E20" s="188"/>
      <c r="F20" s="188"/>
      <c r="G20" s="222">
        <v>28766400</v>
      </c>
    </row>
    <row r="21" spans="1:7" ht="15.6" x14ac:dyDescent="0.3">
      <c r="A21" s="166"/>
      <c r="B21" s="165"/>
      <c r="C21" s="165"/>
      <c r="D21" s="165"/>
      <c r="E21" s="201"/>
      <c r="F21" s="201"/>
      <c r="G21" s="201"/>
    </row>
    <row r="22" spans="1:7" x14ac:dyDescent="0.3">
      <c r="A22" s="192" t="s">
        <v>229</v>
      </c>
      <c r="B22" s="192"/>
      <c r="C22" s="192"/>
      <c r="D22" s="192"/>
      <c r="E22" s="192"/>
      <c r="F22" s="192"/>
      <c r="G22" s="192"/>
    </row>
    <row r="23" spans="1:7" x14ac:dyDescent="0.3">
      <c r="A23" s="192" t="s">
        <v>246</v>
      </c>
      <c r="B23" s="192"/>
      <c r="C23" s="192"/>
      <c r="D23" s="192"/>
      <c r="E23" s="192"/>
      <c r="F23" s="192"/>
      <c r="G23" s="192"/>
    </row>
    <row r="24" spans="1:7" ht="15.6" x14ac:dyDescent="0.3">
      <c r="A24" s="121"/>
      <c r="B24" s="121"/>
      <c r="C24" s="127"/>
      <c r="D24" s="127"/>
    </row>
    <row r="25" spans="1:7" ht="15.6" x14ac:dyDescent="0.3">
      <c r="A25" s="121"/>
      <c r="B25" s="121"/>
      <c r="C25" s="127"/>
      <c r="D25" s="127"/>
    </row>
    <row r="26" spans="1:7" ht="15.6" x14ac:dyDescent="0.3">
      <c r="A26" s="121"/>
      <c r="B26" s="121"/>
      <c r="C26" s="132" t="s">
        <v>157</v>
      </c>
      <c r="D26" s="132"/>
    </row>
  </sheetData>
  <mergeCells count="29">
    <mergeCell ref="A1:G1"/>
    <mergeCell ref="A3:B3"/>
    <mergeCell ref="C3:G3"/>
    <mergeCell ref="A4:B4"/>
    <mergeCell ref="C4:G4"/>
    <mergeCell ref="A10:B10"/>
    <mergeCell ref="C10:G10"/>
    <mergeCell ref="A5:B5"/>
    <mergeCell ref="C5:G5"/>
    <mergeCell ref="A6:B6"/>
    <mergeCell ref="C6:G6"/>
    <mergeCell ref="A7:B7"/>
    <mergeCell ref="C7:G7"/>
    <mergeCell ref="C26:D26"/>
    <mergeCell ref="D19:F19"/>
    <mergeCell ref="D20:F20"/>
    <mergeCell ref="A22:G22"/>
    <mergeCell ref="A23:G23"/>
    <mergeCell ref="A11:B11"/>
    <mergeCell ref="C11:G11"/>
    <mergeCell ref="D16:F16"/>
    <mergeCell ref="D17:F17"/>
    <mergeCell ref="D18:F18"/>
    <mergeCell ref="A8:B8"/>
    <mergeCell ref="C8:G8"/>
    <mergeCell ref="A9:B9"/>
    <mergeCell ref="C9:G9"/>
    <mergeCell ref="C24:D24"/>
    <mergeCell ref="C25:D25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3CB65B-FDC6-4AC3-B080-6C6C687EC5D5}">
  <dimension ref="A1:G27"/>
  <sheetViews>
    <sheetView workbookViewId="0">
      <selection activeCell="F15" sqref="F15"/>
    </sheetView>
  </sheetViews>
  <sheetFormatPr baseColWidth="10" defaultRowHeight="14.4" x14ac:dyDescent="0.3"/>
  <cols>
    <col min="2" max="2" width="63" customWidth="1"/>
    <col min="3" max="3" width="24.109375" customWidth="1"/>
    <col min="4" max="4" width="19.21875" customWidth="1"/>
  </cols>
  <sheetData>
    <row r="1" spans="1:7" ht="17.399999999999999" x14ac:dyDescent="0.3">
      <c r="A1" s="167" t="s">
        <v>231</v>
      </c>
      <c r="B1" s="167"/>
      <c r="C1" s="167"/>
      <c r="D1" s="167"/>
      <c r="E1" s="167"/>
      <c r="F1" s="167"/>
      <c r="G1" s="167"/>
    </row>
    <row r="3" spans="1:7" x14ac:dyDescent="0.3">
      <c r="A3" s="169" t="s">
        <v>190</v>
      </c>
      <c r="B3" s="169"/>
      <c r="C3" s="169" t="s">
        <v>191</v>
      </c>
      <c r="D3" s="169"/>
      <c r="E3" s="169"/>
      <c r="F3" s="169"/>
      <c r="G3" s="169"/>
    </row>
    <row r="4" spans="1:7" x14ac:dyDescent="0.3">
      <c r="A4" s="171" t="s">
        <v>192</v>
      </c>
      <c r="B4" s="171"/>
      <c r="C4" s="171" t="s">
        <v>232</v>
      </c>
      <c r="D4" s="171"/>
      <c r="E4" s="171"/>
      <c r="F4" s="171"/>
      <c r="G4" s="171"/>
    </row>
    <row r="5" spans="1:7" x14ac:dyDescent="0.3">
      <c r="A5" s="171" t="s">
        <v>194</v>
      </c>
      <c r="B5" s="171"/>
      <c r="C5" s="171" t="s">
        <v>233</v>
      </c>
      <c r="D5" s="171"/>
      <c r="E5" s="171"/>
      <c r="F5" s="171"/>
      <c r="G5" s="171"/>
    </row>
    <row r="6" spans="1:7" x14ac:dyDescent="0.3">
      <c r="A6" s="171" t="s">
        <v>196</v>
      </c>
      <c r="B6" s="171"/>
      <c r="C6" s="171" t="s">
        <v>234</v>
      </c>
      <c r="D6" s="171"/>
      <c r="E6" s="171"/>
      <c r="F6" s="171"/>
      <c r="G6" s="171"/>
    </row>
    <row r="7" spans="1:7" x14ac:dyDescent="0.3">
      <c r="A7" s="171" t="s">
        <v>198</v>
      </c>
      <c r="B7" s="171"/>
      <c r="C7" s="171" t="s">
        <v>235</v>
      </c>
      <c r="D7" s="171"/>
      <c r="E7" s="171"/>
      <c r="F7" s="171"/>
      <c r="G7" s="171"/>
    </row>
    <row r="8" spans="1:7" x14ac:dyDescent="0.3">
      <c r="A8" s="171" t="s">
        <v>200</v>
      </c>
      <c r="B8" s="171"/>
      <c r="C8" s="169"/>
      <c r="D8" s="169"/>
      <c r="E8" s="169"/>
      <c r="F8" s="169"/>
      <c r="G8" s="169"/>
    </row>
    <row r="9" spans="1:7" x14ac:dyDescent="0.3">
      <c r="A9" s="171" t="s">
        <v>201</v>
      </c>
      <c r="B9" s="171"/>
      <c r="C9" s="171" t="s">
        <v>236</v>
      </c>
      <c r="D9" s="171"/>
      <c r="E9" s="171"/>
      <c r="F9" s="171"/>
      <c r="G9" s="171"/>
    </row>
    <row r="10" spans="1:7" x14ac:dyDescent="0.3">
      <c r="A10" s="171" t="s">
        <v>203</v>
      </c>
      <c r="B10" s="171"/>
      <c r="C10" s="171" t="s">
        <v>204</v>
      </c>
      <c r="D10" s="171"/>
      <c r="E10" s="171"/>
      <c r="F10" s="171"/>
      <c r="G10" s="171"/>
    </row>
    <row r="11" spans="1:7" x14ac:dyDescent="0.3">
      <c r="A11" s="171" t="s">
        <v>205</v>
      </c>
      <c r="B11" s="171"/>
      <c r="C11" s="171" t="s">
        <v>206</v>
      </c>
      <c r="D11" s="171"/>
      <c r="E11" s="171"/>
      <c r="F11" s="171"/>
      <c r="G11" s="171"/>
    </row>
    <row r="12" spans="1:7" ht="15.6" x14ac:dyDescent="0.3">
      <c r="A12" s="124"/>
      <c r="B12" s="121"/>
      <c r="C12" s="164"/>
      <c r="D12" s="164"/>
    </row>
    <row r="13" spans="1:7" ht="26.4" x14ac:dyDescent="0.3">
      <c r="A13" s="202" t="s">
        <v>128</v>
      </c>
      <c r="B13" s="202" t="s">
        <v>129</v>
      </c>
      <c r="C13" s="202" t="s">
        <v>207</v>
      </c>
      <c r="D13" s="202" t="s">
        <v>208</v>
      </c>
      <c r="E13" s="202" t="s">
        <v>209</v>
      </c>
      <c r="F13" s="202" t="s">
        <v>210</v>
      </c>
      <c r="G13" s="202" t="s">
        <v>211</v>
      </c>
    </row>
    <row r="14" spans="1:7" ht="28.2" customHeight="1" x14ac:dyDescent="0.3">
      <c r="A14" s="203" t="s">
        <v>237</v>
      </c>
      <c r="B14" s="203" t="s">
        <v>238</v>
      </c>
      <c r="C14" s="204">
        <v>1610068</v>
      </c>
      <c r="D14" s="205">
        <v>1</v>
      </c>
      <c r="E14" s="206" t="s">
        <v>213</v>
      </c>
      <c r="F14" s="207">
        <v>0</v>
      </c>
      <c r="G14" s="208">
        <v>1610068</v>
      </c>
    </row>
    <row r="15" spans="1:7" ht="14.4" customHeight="1" x14ac:dyDescent="0.3">
      <c r="A15" s="196"/>
      <c r="B15" s="197"/>
      <c r="C15" s="198"/>
      <c r="D15" s="199"/>
    </row>
    <row r="16" spans="1:7" ht="14.4" customHeight="1" x14ac:dyDescent="0.3">
      <c r="A16" s="201"/>
      <c r="B16" s="201"/>
      <c r="C16" s="201"/>
      <c r="D16" s="185" t="s">
        <v>222</v>
      </c>
      <c r="E16" s="185"/>
      <c r="F16" s="185"/>
      <c r="G16" s="209">
        <v>1610068</v>
      </c>
    </row>
    <row r="17" spans="1:7" ht="14.4" customHeight="1" x14ac:dyDescent="0.3">
      <c r="A17" s="201"/>
      <c r="B17" s="201"/>
      <c r="C17" s="201"/>
      <c r="D17" s="185" t="s">
        <v>225</v>
      </c>
      <c r="E17" s="185"/>
      <c r="F17" s="185"/>
      <c r="G17" s="210">
        <v>0</v>
      </c>
    </row>
    <row r="18" spans="1:7" x14ac:dyDescent="0.3">
      <c r="A18" s="201"/>
      <c r="B18" s="201"/>
      <c r="C18" s="201"/>
      <c r="D18" s="185" t="s">
        <v>184</v>
      </c>
      <c r="E18" s="185"/>
      <c r="F18" s="185"/>
      <c r="G18" s="209">
        <v>1610068</v>
      </c>
    </row>
    <row r="19" spans="1:7" x14ac:dyDescent="0.3">
      <c r="A19" s="201"/>
      <c r="B19" s="201"/>
      <c r="C19" s="201"/>
      <c r="D19" s="185" t="s">
        <v>226</v>
      </c>
      <c r="E19" s="185"/>
      <c r="F19" s="185"/>
      <c r="G19" s="210">
        <v>0</v>
      </c>
    </row>
    <row r="20" spans="1:7" x14ac:dyDescent="0.3">
      <c r="A20" s="201"/>
      <c r="B20" s="201"/>
      <c r="C20" s="201"/>
      <c r="D20" s="188" t="s">
        <v>227</v>
      </c>
      <c r="E20" s="188"/>
      <c r="F20" s="188"/>
      <c r="G20" s="211">
        <v>1610068</v>
      </c>
    </row>
    <row r="21" spans="1:7" ht="15.6" x14ac:dyDescent="0.3">
      <c r="A21" s="121"/>
      <c r="B21" s="121"/>
      <c r="C21" s="200"/>
      <c r="D21" s="200"/>
    </row>
    <row r="22" spans="1:7" x14ac:dyDescent="0.3">
      <c r="A22" s="192" t="s">
        <v>229</v>
      </c>
      <c r="B22" s="192"/>
      <c r="C22" s="192"/>
      <c r="D22" s="192"/>
      <c r="E22" s="192"/>
      <c r="F22" s="192"/>
      <c r="G22" s="192"/>
    </row>
    <row r="23" spans="1:7" x14ac:dyDescent="0.3">
      <c r="A23" s="192" t="s">
        <v>239</v>
      </c>
      <c r="B23" s="192"/>
      <c r="C23" s="192"/>
      <c r="D23" s="192"/>
      <c r="E23" s="192"/>
      <c r="F23" s="192"/>
      <c r="G23" s="192"/>
    </row>
    <row r="24" spans="1:7" ht="15.6" x14ac:dyDescent="0.3">
      <c r="A24" s="121"/>
      <c r="B24" s="121"/>
      <c r="C24" s="127"/>
      <c r="D24" s="127"/>
    </row>
    <row r="25" spans="1:7" ht="15.6" x14ac:dyDescent="0.3">
      <c r="A25" s="121"/>
      <c r="B25" s="121"/>
      <c r="C25" s="127"/>
      <c r="D25" s="127"/>
    </row>
    <row r="26" spans="1:7" ht="15.6" x14ac:dyDescent="0.3">
      <c r="A26" s="121"/>
      <c r="B26" s="121"/>
      <c r="C26" s="127"/>
      <c r="D26" s="127"/>
    </row>
    <row r="27" spans="1:7" ht="15.6" x14ac:dyDescent="0.3">
      <c r="A27" s="121"/>
      <c r="B27" s="121"/>
      <c r="C27" s="132" t="s">
        <v>157</v>
      </c>
      <c r="D27" s="132"/>
    </row>
  </sheetData>
  <mergeCells count="30">
    <mergeCell ref="C26:D26"/>
    <mergeCell ref="C27:D27"/>
    <mergeCell ref="D19:F19"/>
    <mergeCell ref="D20:F20"/>
    <mergeCell ref="A22:G22"/>
    <mergeCell ref="A23:G23"/>
    <mergeCell ref="A11:B11"/>
    <mergeCell ref="C11:G11"/>
    <mergeCell ref="D16:F16"/>
    <mergeCell ref="D17:F17"/>
    <mergeCell ref="D18:F18"/>
    <mergeCell ref="A8:B8"/>
    <mergeCell ref="C24:D24"/>
    <mergeCell ref="C25:D25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B7"/>
    <mergeCell ref="C7:G7"/>
    <mergeCell ref="A4:B4"/>
    <mergeCell ref="C4:G4"/>
    <mergeCell ref="A1:G1"/>
    <mergeCell ref="A3:B3"/>
    <mergeCell ref="C3:G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C6E8B0"/>
  </sheetPr>
  <dimension ref="A1:E8"/>
  <sheetViews>
    <sheetView zoomScaleNormal="100" workbookViewId="0"/>
  </sheetViews>
  <sheetFormatPr baseColWidth="10" defaultColWidth="8.6640625" defaultRowHeight="14.4" x14ac:dyDescent="0.3"/>
  <cols>
    <col min="1" max="1" width="34" customWidth="1"/>
    <col min="3" max="3" width="30" customWidth="1"/>
  </cols>
  <sheetData>
    <row r="1" spans="1:5" x14ac:dyDescent="0.3">
      <c r="A1" s="1" t="s">
        <v>112</v>
      </c>
      <c r="C1" s="1" t="s">
        <v>113</v>
      </c>
      <c r="E1" s="64" t="s">
        <v>114</v>
      </c>
    </row>
    <row r="2" spans="1:5" x14ac:dyDescent="0.3">
      <c r="A2" s="65" t="s">
        <v>115</v>
      </c>
      <c r="C2" s="65" t="s">
        <v>66</v>
      </c>
    </row>
    <row r="3" spans="1:5" x14ac:dyDescent="0.3">
      <c r="A3" s="65" t="s">
        <v>62</v>
      </c>
      <c r="C3" s="65" t="s">
        <v>62</v>
      </c>
    </row>
    <row r="4" spans="1:5" x14ac:dyDescent="0.3">
      <c r="A4" s="65" t="s">
        <v>106</v>
      </c>
      <c r="C4" s="65" t="s">
        <v>57</v>
      </c>
    </row>
    <row r="5" spans="1:5" x14ac:dyDescent="0.3">
      <c r="A5" s="65" t="s">
        <v>116</v>
      </c>
      <c r="C5" s="65" t="s">
        <v>117</v>
      </c>
    </row>
    <row r="6" spans="1:5" x14ac:dyDescent="0.3">
      <c r="A6" s="65" t="s">
        <v>102</v>
      </c>
      <c r="C6" s="65" t="s">
        <v>118</v>
      </c>
    </row>
    <row r="7" spans="1:5" x14ac:dyDescent="0.3">
      <c r="A7" s="65" t="s">
        <v>91</v>
      </c>
      <c r="C7" s="65" t="s">
        <v>119</v>
      </c>
    </row>
    <row r="8" spans="1:5" x14ac:dyDescent="0.3">
      <c r="A8" s="65" t="s">
        <v>119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9</vt:i4>
      </vt:variant>
    </vt:vector>
  </HeadingPairs>
  <TitlesOfParts>
    <vt:vector size="9" baseType="lpstr">
      <vt:lpstr>Tableau de bord</vt:lpstr>
      <vt:lpstr>Renouvellements</vt:lpstr>
      <vt:lpstr>Pipeline</vt:lpstr>
      <vt:lpstr>CNPS</vt:lpstr>
      <vt:lpstr>NEURONES</vt:lpstr>
      <vt:lpstr>CNAM</vt:lpstr>
      <vt:lpstr>FER</vt:lpstr>
      <vt:lpstr>NSIA VIE</vt:lpstr>
      <vt:lpstr>Listes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Désirée KOUASSI</cp:lastModifiedBy>
  <cp:revision>0</cp:revision>
  <dcterms:created xsi:type="dcterms:W3CDTF">2026-10-13T19:53:23Z</dcterms:created>
  <dcterms:modified xsi:type="dcterms:W3CDTF">2026-10-19T20:43:33Z</dcterms:modified>
  <dc:language>en-US</dc:language>
</cp:coreProperties>
</file>