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infinity/Desktop/"/>
    </mc:Choice>
  </mc:AlternateContent>
  <xr:revisionPtr revIDLastSave="0" documentId="13_ncr:1_{4BD581FD-0EB3-524D-BFBE-9FAA737EBD6C}" xr6:coauthVersionLast="47" xr6:coauthVersionMax="47" xr10:uidLastSave="{00000000-0000-0000-0000-000000000000}"/>
  <bookViews>
    <workbookView xWindow="0" yWindow="500" windowWidth="51200" windowHeight="26600" tabRatio="500" activeTab="3" xr2:uid="{00000000-000D-0000-FFFF-FFFF00000000}"/>
  </bookViews>
  <sheets>
    <sheet name="Synthèse" sheetId="1" r:id="rId1"/>
    <sheet name="Pipeline global" sheetId="2" r:id="rId2"/>
    <sheet name="Renouvellements" sheetId="3" r:id="rId3"/>
    <sheet name="CNAM" sheetId="4" r:id="rId4"/>
    <sheet name="CNPS" sheetId="5" r:id="rId5"/>
    <sheet name="FER" sheetId="6" r:id="rId6"/>
    <sheet name="NSIA" sheetId="7" r:id="rId7"/>
    <sheet name="Orange Business" sheetId="8" r:id="rId8"/>
    <sheet name="NEURONES" sheetId="9" r:id="rId9"/>
    <sheet name="Appels d’offres" sheetId="10" r:id="rId10"/>
    <sheet name="Solutions &amp; prospects" sheetId="11" r:id="rId11"/>
    <sheet name="Plan d’actions" sheetId="12" r:id="rId12"/>
    <sheet name="Contacts" sheetId="13" r:id="rId13"/>
    <sheet name="Listes" sheetId="14" r:id="rId14"/>
  </sheets>
  <definedNames>
    <definedName name="_xlnm._FilterDatabase" localSheetId="9" hidden="1">'Appels d’offres'!$B$8:$O$20</definedName>
    <definedName name="_xlnm._FilterDatabase" localSheetId="12" hidden="1">Contacts!$B$8:$N$428</definedName>
    <definedName name="_xlnm._FilterDatabase" localSheetId="1" hidden="1">'Pipeline global'!$B$8:$V$50</definedName>
    <definedName name="_xlnm._FilterDatabase" localSheetId="11" hidden="1">'Plan d’actions'!$B$8:$I$51</definedName>
    <definedName name="_xlnm._FilterDatabase" localSheetId="2" hidden="1">Renouvellements!$B$8:$R$20</definedName>
    <definedName name="_xlnm._FilterDatabase" localSheetId="10" hidden="1">'Solutions &amp; prospects'!$B$23:$M$77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1" i="12" l="1"/>
  <c r="B50" i="12"/>
  <c r="B49" i="12"/>
  <c r="B48" i="12"/>
  <c r="B47" i="12"/>
  <c r="I21" i="10"/>
  <c r="H20" i="10"/>
  <c r="B20" i="10"/>
  <c r="H19" i="10"/>
  <c r="B19" i="10"/>
  <c r="H18" i="10"/>
  <c r="B18" i="10"/>
  <c r="H17" i="10"/>
  <c r="B17" i="10"/>
  <c r="H16" i="10"/>
  <c r="B16" i="10"/>
  <c r="H15" i="10"/>
  <c r="B15" i="10"/>
  <c r="H14" i="10"/>
  <c r="B14" i="10"/>
  <c r="H13" i="10"/>
  <c r="B13" i="10"/>
  <c r="H12" i="10"/>
  <c r="B12" i="10"/>
  <c r="H11" i="10"/>
  <c r="B11" i="10"/>
  <c r="H10" i="10"/>
  <c r="H9" i="10"/>
  <c r="G48" i="9"/>
  <c r="I47" i="9"/>
  <c r="I46" i="9"/>
  <c r="I45" i="9"/>
  <c r="I44" i="9"/>
  <c r="I48" i="9" s="1"/>
  <c r="M40" i="9"/>
  <c r="L40" i="9"/>
  <c r="K40" i="9"/>
  <c r="I40" i="9"/>
  <c r="G40" i="9"/>
  <c r="L39" i="9"/>
  <c r="I39" i="9"/>
  <c r="H39" i="9"/>
  <c r="G39" i="9"/>
  <c r="M38" i="9"/>
  <c r="K38" i="9"/>
  <c r="J38" i="9"/>
  <c r="M37" i="9"/>
  <c r="K37" i="9"/>
  <c r="J37" i="9"/>
  <c r="M36" i="9"/>
  <c r="K36" i="9"/>
  <c r="J36" i="9"/>
  <c r="M35" i="9"/>
  <c r="M39" i="9" s="1"/>
  <c r="G53" i="1" s="1"/>
  <c r="J35" i="9"/>
  <c r="K35" i="9" s="1"/>
  <c r="K39" i="9" s="1"/>
  <c r="G46" i="8"/>
  <c r="I45" i="8"/>
  <c r="I44" i="8"/>
  <c r="I43" i="8"/>
  <c r="I42" i="8"/>
  <c r="I46" i="8" s="1"/>
  <c r="M38" i="8"/>
  <c r="L38" i="8"/>
  <c r="K38" i="8"/>
  <c r="I38" i="8"/>
  <c r="G38" i="8"/>
  <c r="L37" i="8"/>
  <c r="I37" i="8"/>
  <c r="H37" i="8"/>
  <c r="G37" i="8"/>
  <c r="M36" i="8"/>
  <c r="K36" i="8"/>
  <c r="J36" i="8"/>
  <c r="M35" i="8"/>
  <c r="K35" i="8"/>
  <c r="J35" i="8"/>
  <c r="M34" i="8"/>
  <c r="K34" i="8"/>
  <c r="K37" i="8" s="1"/>
  <c r="J34" i="8"/>
  <c r="M33" i="8"/>
  <c r="M37" i="8" s="1"/>
  <c r="G52" i="1" s="1"/>
  <c r="K33" i="8"/>
  <c r="J33" i="8"/>
  <c r="J37" i="8" s="1"/>
  <c r="G57" i="7"/>
  <c r="I56" i="7"/>
  <c r="I55" i="7"/>
  <c r="I54" i="7"/>
  <c r="I53" i="7"/>
  <c r="I57" i="7" s="1"/>
  <c r="M49" i="7"/>
  <c r="L49" i="7"/>
  <c r="I49" i="7"/>
  <c r="G49" i="7"/>
  <c r="L48" i="7"/>
  <c r="I48" i="7"/>
  <c r="H48" i="7"/>
  <c r="G48" i="7"/>
  <c r="M47" i="7"/>
  <c r="K47" i="7"/>
  <c r="J47" i="7"/>
  <c r="M46" i="7"/>
  <c r="K46" i="7"/>
  <c r="J46" i="7"/>
  <c r="M45" i="7"/>
  <c r="J45" i="7"/>
  <c r="K45" i="7" s="1"/>
  <c r="K49" i="7" s="1"/>
  <c r="M44" i="7"/>
  <c r="J44" i="7"/>
  <c r="K44" i="7" s="1"/>
  <c r="M43" i="7"/>
  <c r="M48" i="7" s="1"/>
  <c r="G51" i="1" s="1"/>
  <c r="K43" i="7"/>
  <c r="K48" i="7" s="1"/>
  <c r="J43" i="7"/>
  <c r="G47" i="6"/>
  <c r="I46" i="6"/>
  <c r="I45" i="6"/>
  <c r="I44" i="6"/>
  <c r="I43" i="6"/>
  <c r="I47" i="6" s="1"/>
  <c r="M39" i="6"/>
  <c r="L39" i="6"/>
  <c r="I39" i="6"/>
  <c r="G39" i="6"/>
  <c r="L38" i="6"/>
  <c r="I38" i="6"/>
  <c r="H38" i="6"/>
  <c r="G38" i="6"/>
  <c r="M37" i="6"/>
  <c r="K37" i="6"/>
  <c r="J37" i="6"/>
  <c r="M36" i="6"/>
  <c r="K36" i="6"/>
  <c r="J36" i="6"/>
  <c r="M35" i="6"/>
  <c r="K35" i="6"/>
  <c r="J35" i="6"/>
  <c r="J38" i="6" s="1"/>
  <c r="M34" i="6"/>
  <c r="M38" i="6" s="1"/>
  <c r="G50" i="1" s="1"/>
  <c r="J34" i="6"/>
  <c r="K34" i="6" s="1"/>
  <c r="G54" i="5"/>
  <c r="I53" i="5"/>
  <c r="I52" i="5"/>
  <c r="I51" i="5"/>
  <c r="I54" i="5" s="1"/>
  <c r="I50" i="5"/>
  <c r="M46" i="5"/>
  <c r="L46" i="5"/>
  <c r="K46" i="5"/>
  <c r="I46" i="5"/>
  <c r="G46" i="5"/>
  <c r="L45" i="5"/>
  <c r="I45" i="5"/>
  <c r="H45" i="5"/>
  <c r="G45" i="5"/>
  <c r="M44" i="5"/>
  <c r="K44" i="5"/>
  <c r="J44" i="5"/>
  <c r="M43" i="5"/>
  <c r="K43" i="5"/>
  <c r="J43" i="5"/>
  <c r="M42" i="5"/>
  <c r="K42" i="5"/>
  <c r="J42" i="5"/>
  <c r="M41" i="5"/>
  <c r="M45" i="5" s="1"/>
  <c r="G49" i="1" s="1"/>
  <c r="K41" i="5"/>
  <c r="K45" i="5" s="1"/>
  <c r="J41" i="5"/>
  <c r="J45" i="5" s="1"/>
  <c r="I53" i="4"/>
  <c r="I52" i="4"/>
  <c r="I51" i="4"/>
  <c r="G50" i="4"/>
  <c r="G54" i="4" s="1"/>
  <c r="H48" i="1" s="1"/>
  <c r="H54" i="1" s="1"/>
  <c r="L46" i="4"/>
  <c r="I46" i="4"/>
  <c r="G46" i="4"/>
  <c r="L45" i="4"/>
  <c r="I45" i="4"/>
  <c r="H45" i="4"/>
  <c r="G45" i="4"/>
  <c r="M44" i="4"/>
  <c r="K44" i="4"/>
  <c r="J44" i="4"/>
  <c r="M43" i="4"/>
  <c r="K43" i="4"/>
  <c r="J43" i="4"/>
  <c r="M42" i="4"/>
  <c r="J42" i="4"/>
  <c r="K42" i="4" s="1"/>
  <c r="M41" i="4"/>
  <c r="M46" i="4" s="1"/>
  <c r="J41" i="4"/>
  <c r="K41" i="4" s="1"/>
  <c r="M40" i="4"/>
  <c r="J40" i="4"/>
  <c r="K40" i="4" s="1"/>
  <c r="M39" i="4"/>
  <c r="J39" i="4"/>
  <c r="K39" i="4" s="1"/>
  <c r="M38" i="4"/>
  <c r="J38" i="4"/>
  <c r="K38" i="4" s="1"/>
  <c r="L20" i="3"/>
  <c r="J20" i="3"/>
  <c r="H20" i="3"/>
  <c r="I20" i="3" s="1"/>
  <c r="B20" i="3"/>
  <c r="L19" i="3"/>
  <c r="H19" i="3"/>
  <c r="K19" i="3" s="1"/>
  <c r="B19" i="3"/>
  <c r="L18" i="3"/>
  <c r="J18" i="3"/>
  <c r="H18" i="3"/>
  <c r="I18" i="3" s="1"/>
  <c r="B18" i="3"/>
  <c r="L17" i="3"/>
  <c r="H17" i="3"/>
  <c r="K17" i="3" s="1"/>
  <c r="B17" i="3"/>
  <c r="L16" i="3"/>
  <c r="J16" i="3"/>
  <c r="H16" i="3"/>
  <c r="I16" i="3" s="1"/>
  <c r="B16" i="3"/>
  <c r="L15" i="3"/>
  <c r="H15" i="3"/>
  <c r="K15" i="3" s="1"/>
  <c r="B15" i="3"/>
  <c r="L14" i="3"/>
  <c r="K14" i="3"/>
  <c r="J14" i="3"/>
  <c r="I14" i="3"/>
  <c r="F14" i="3"/>
  <c r="E14" i="3"/>
  <c r="F13" i="3"/>
  <c r="E13" i="3"/>
  <c r="H13" i="3" s="1"/>
  <c r="L13" i="3" s="1"/>
  <c r="H12" i="3"/>
  <c r="J12" i="3" s="1"/>
  <c r="F12" i="3"/>
  <c r="E12" i="3"/>
  <c r="F11" i="3"/>
  <c r="E11" i="3"/>
  <c r="H11" i="3" s="1"/>
  <c r="F10" i="3"/>
  <c r="E10" i="3"/>
  <c r="H10" i="3" s="1"/>
  <c r="H9" i="3"/>
  <c r="L9" i="3" s="1"/>
  <c r="F9" i="3"/>
  <c r="E9" i="3"/>
  <c r="B51" i="2"/>
  <c r="O50" i="2"/>
  <c r="M50" i="2"/>
  <c r="B50" i="2"/>
  <c r="O49" i="2"/>
  <c r="M49" i="2"/>
  <c r="B49" i="2"/>
  <c r="O48" i="2"/>
  <c r="M48" i="2"/>
  <c r="B48" i="2"/>
  <c r="O47" i="2"/>
  <c r="M47" i="2"/>
  <c r="B47" i="2"/>
  <c r="O46" i="2"/>
  <c r="M46" i="2"/>
  <c r="B46" i="2"/>
  <c r="O45" i="2"/>
  <c r="M45" i="2"/>
  <c r="O44" i="2"/>
  <c r="M44" i="2"/>
  <c r="O43" i="2"/>
  <c r="M43" i="2"/>
  <c r="O42" i="2"/>
  <c r="M42" i="2"/>
  <c r="O41" i="2"/>
  <c r="M41" i="2"/>
  <c r="O40" i="2"/>
  <c r="M40" i="2"/>
  <c r="O39" i="2"/>
  <c r="M39" i="2"/>
  <c r="O38" i="2"/>
  <c r="M38" i="2"/>
  <c r="O37" i="2"/>
  <c r="M37" i="2"/>
  <c r="O36" i="2"/>
  <c r="M36" i="2"/>
  <c r="O35" i="2"/>
  <c r="M35" i="2"/>
  <c r="O34" i="2"/>
  <c r="M34" i="2"/>
  <c r="O33" i="2"/>
  <c r="M33" i="2"/>
  <c r="O32" i="2"/>
  <c r="M32" i="2"/>
  <c r="O31" i="2"/>
  <c r="M31" i="2"/>
  <c r="O30" i="2"/>
  <c r="M30" i="2"/>
  <c r="O29" i="2"/>
  <c r="M29" i="2"/>
  <c r="O28" i="2"/>
  <c r="M28" i="2"/>
  <c r="O27" i="2"/>
  <c r="M27" i="2"/>
  <c r="O26" i="2"/>
  <c r="M26" i="2"/>
  <c r="O25" i="2"/>
  <c r="M25" i="2"/>
  <c r="O24" i="2"/>
  <c r="M24" i="2"/>
  <c r="O23" i="2"/>
  <c r="M23" i="2"/>
  <c r="O22" i="2"/>
  <c r="M22" i="2"/>
  <c r="O21" i="2"/>
  <c r="M21" i="2"/>
  <c r="L21" i="2"/>
  <c r="L20" i="2"/>
  <c r="O20" i="2" s="1"/>
  <c r="L19" i="2"/>
  <c r="O19" i="2" s="1"/>
  <c r="K19" i="2"/>
  <c r="M19" i="2" s="1"/>
  <c r="E63" i="1" s="1"/>
  <c r="M18" i="2"/>
  <c r="L18" i="2"/>
  <c r="O18" i="2" s="1"/>
  <c r="O17" i="2"/>
  <c r="L17" i="2"/>
  <c r="M17" i="2" s="1"/>
  <c r="E62" i="1" s="1"/>
  <c r="O16" i="2"/>
  <c r="M16" i="2"/>
  <c r="L16" i="2"/>
  <c r="L15" i="2"/>
  <c r="O15" i="2" s="1"/>
  <c r="N14" i="2"/>
  <c r="F40" i="1" s="1"/>
  <c r="L14" i="2"/>
  <c r="N13" i="2"/>
  <c r="L13" i="2"/>
  <c r="O13" i="2" s="1"/>
  <c r="O12" i="2"/>
  <c r="M12" i="2"/>
  <c r="O11" i="2"/>
  <c r="M11" i="2"/>
  <c r="L11" i="2"/>
  <c r="K11" i="2"/>
  <c r="O10" i="2"/>
  <c r="M10" i="2"/>
  <c r="L10" i="2"/>
  <c r="K10" i="2"/>
  <c r="O9" i="2"/>
  <c r="M9" i="2"/>
  <c r="F74" i="1"/>
  <c r="D74" i="1"/>
  <c r="C74" i="1"/>
  <c r="F73" i="1"/>
  <c r="E73" i="1"/>
  <c r="D73" i="1"/>
  <c r="C73" i="1"/>
  <c r="F72" i="1"/>
  <c r="E72" i="1"/>
  <c r="D72" i="1"/>
  <c r="C72" i="1"/>
  <c r="F71" i="1"/>
  <c r="F75" i="1" s="1"/>
  <c r="C71" i="1"/>
  <c r="C75" i="1" s="1"/>
  <c r="E66" i="1"/>
  <c r="D66" i="1"/>
  <c r="C66" i="1"/>
  <c r="E65" i="1"/>
  <c r="D65" i="1"/>
  <c r="C65" i="1"/>
  <c r="C64" i="1"/>
  <c r="D63" i="1"/>
  <c r="C63" i="1"/>
  <c r="D62" i="1"/>
  <c r="C62" i="1"/>
  <c r="C61" i="1"/>
  <c r="E60" i="1"/>
  <c r="D60" i="1"/>
  <c r="C60" i="1"/>
  <c r="E59" i="1"/>
  <c r="D59" i="1"/>
  <c r="C59" i="1"/>
  <c r="E58" i="1"/>
  <c r="D58" i="1"/>
  <c r="C58" i="1"/>
  <c r="C67" i="1" s="1"/>
  <c r="H53" i="1"/>
  <c r="F53" i="1"/>
  <c r="E53" i="1"/>
  <c r="D53" i="1"/>
  <c r="C53" i="1"/>
  <c r="H52" i="1"/>
  <c r="F52" i="1"/>
  <c r="E52" i="1"/>
  <c r="D52" i="1"/>
  <c r="C52" i="1"/>
  <c r="H51" i="1"/>
  <c r="F51" i="1"/>
  <c r="E51" i="1"/>
  <c r="D51" i="1"/>
  <c r="C51" i="1"/>
  <c r="H50" i="1"/>
  <c r="F50" i="1"/>
  <c r="E50" i="1"/>
  <c r="D50" i="1"/>
  <c r="C50" i="1"/>
  <c r="H49" i="1"/>
  <c r="F49" i="1"/>
  <c r="E49" i="1"/>
  <c r="D49" i="1"/>
  <c r="C49" i="1"/>
  <c r="F48" i="1"/>
  <c r="F54" i="1" s="1"/>
  <c r="E48" i="1"/>
  <c r="E54" i="1" s="1"/>
  <c r="D48" i="1"/>
  <c r="D54" i="1" s="1"/>
  <c r="C48" i="1"/>
  <c r="F43" i="1"/>
  <c r="E43" i="1"/>
  <c r="D43" i="1"/>
  <c r="G43" i="1" s="1"/>
  <c r="C43" i="1"/>
  <c r="F42" i="1"/>
  <c r="E42" i="1"/>
  <c r="D42" i="1"/>
  <c r="G42" i="1" s="1"/>
  <c r="C42" i="1"/>
  <c r="F41" i="1"/>
  <c r="E41" i="1"/>
  <c r="D41" i="1"/>
  <c r="C41" i="1"/>
  <c r="C40" i="1"/>
  <c r="C44" i="1" s="1"/>
  <c r="C35" i="1"/>
  <c r="C34" i="1"/>
  <c r="C33" i="1"/>
  <c r="C32" i="1"/>
  <c r="C31" i="1"/>
  <c r="C30" i="1"/>
  <c r="C20" i="1"/>
  <c r="C19" i="1"/>
  <c r="C16" i="1"/>
  <c r="C15" i="1"/>
  <c r="C14" i="1"/>
  <c r="C13" i="1"/>
  <c r="C10" i="1"/>
  <c r="C7" i="1"/>
  <c r="F44" i="1" l="1"/>
  <c r="C22" i="1"/>
  <c r="C8" i="1"/>
  <c r="C11" i="1" s="1"/>
  <c r="N51" i="2"/>
  <c r="O14" i="2"/>
  <c r="D40" i="1"/>
  <c r="D44" i="1" s="1"/>
  <c r="G44" i="1" s="1"/>
  <c r="F21" i="3"/>
  <c r="C23" i="1" s="1"/>
  <c r="G41" i="1"/>
  <c r="D61" i="1"/>
  <c r="I12" i="3"/>
  <c r="J45" i="4"/>
  <c r="C12" i="1"/>
  <c r="K12" i="3"/>
  <c r="D64" i="1"/>
  <c r="D71" i="1"/>
  <c r="D75" i="1" s="1"/>
  <c r="M45" i="4"/>
  <c r="G48" i="1" s="1"/>
  <c r="G54" i="1" s="1"/>
  <c r="K46" i="4"/>
  <c r="I10" i="3"/>
  <c r="L10" i="3"/>
  <c r="K10" i="3"/>
  <c r="J10" i="3"/>
  <c r="K45" i="4"/>
  <c r="C21" i="1"/>
  <c r="J11" i="3"/>
  <c r="I11" i="3"/>
  <c r="L11" i="3"/>
  <c r="K11" i="3"/>
  <c r="K39" i="6"/>
  <c r="K38" i="6"/>
  <c r="M13" i="2"/>
  <c r="M14" i="2"/>
  <c r="M15" i="2"/>
  <c r="E61" i="1" s="1"/>
  <c r="M20" i="2"/>
  <c r="I9" i="3"/>
  <c r="L12" i="3"/>
  <c r="I13" i="3"/>
  <c r="I15" i="3"/>
  <c r="K16" i="3"/>
  <c r="I17" i="3"/>
  <c r="K18" i="3"/>
  <c r="I19" i="3"/>
  <c r="K20" i="3"/>
  <c r="E74" i="1"/>
  <c r="L51" i="2"/>
  <c r="O51" i="2" s="1"/>
  <c r="J9" i="3"/>
  <c r="J13" i="3"/>
  <c r="J15" i="3"/>
  <c r="J17" i="3"/>
  <c r="J19" i="3"/>
  <c r="I50" i="4"/>
  <c r="I54" i="4" s="1"/>
  <c r="J48" i="7"/>
  <c r="J39" i="9"/>
  <c r="K9" i="3"/>
  <c r="K13" i="3"/>
  <c r="G40" i="1" l="1"/>
  <c r="D67" i="1"/>
  <c r="M51" i="2"/>
  <c r="C24" i="1"/>
  <c r="E71" i="1"/>
  <c r="E75" i="1" s="1"/>
  <c r="E64" i="1"/>
  <c r="E67" i="1" s="1"/>
  <c r="E40" i="1"/>
  <c r="E44" i="1" s="1"/>
  <c r="C9" i="1"/>
  <c r="C25" i="1"/>
  <c r="C26" i="1"/>
</calcChain>
</file>

<file path=xl/sharedStrings.xml><?xml version="1.0" encoding="utf-8"?>
<sst xmlns="http://schemas.openxmlformats.org/spreadsheetml/2006/main" count="6006" uniqueCount="2525">
  <si>
    <t>IAT — Synthèse du pipeline</t>
  </si>
  <si>
    <t>Vue consolidée | Montants en FCFA | Tous les chiffres sont calculés depuis les autres onglets</t>
  </si>
  <si>
    <t>Mise à jour : 15/10/2026 (facturation : point comptable du 13/10/2026) · Cliquer sur un nom d’onglet pour ouvrir le détail</t>
  </si>
  <si>
    <t>INDICATEURS CLÉS DU PIPELINE</t>
  </si>
  <si>
    <t>Nombre d’affaires dans le pipeline</t>
  </si>
  <si>
    <t>Montant total du pipeline</t>
  </si>
  <si>
    <t>Montant pondéré (Montant × Closing)</t>
  </si>
  <si>
    <t>Commission totale</t>
  </si>
  <si>
    <t>% Rentabilité (Commission / Montant)</t>
  </si>
  <si>
    <t>Montant gagné (M6)</t>
  </si>
  <si>
    <t>Offres remises ou en signature (M4 + M5)</t>
  </si>
  <si>
    <t>Affaires encore à qualifier (M0)</t>
  </si>
  <si>
    <t>Affaires prioritaires (P1)</t>
  </si>
  <si>
    <t>Actions du plan non terminées</t>
  </si>
  <si>
    <t>FACTURATION, ENCAISSEMENTS ET RENOUVELLEMENTS (point comptable du 13/10/2026)</t>
  </si>
  <si>
    <t>Montant total facturé 2024-2026</t>
  </si>
  <si>
    <t>Total encaissé</t>
  </si>
  <si>
    <t>Reste à encaisser</t>
  </si>
  <si>
    <t>Taux d’encaissement</t>
  </si>
  <si>
    <t>Montant récurrent annuel (base dernière facturation)</t>
  </si>
  <si>
    <t>Renouvellements échus non renouvelés (montant)</t>
  </si>
  <si>
    <t>Nombre de contrats échus</t>
  </si>
  <si>
    <t>Contrats à relancer sous 90 jours</t>
  </si>
  <si>
    <t>→ Renouvellements</t>
  </si>
  <si>
    <t>CONTACTS (base clients CI + dirigeants identifiés)</t>
  </si>
  <si>
    <t>Contacts au total (onglet Contacts)</t>
  </si>
  <si>
    <t>Contacts rattachés au pipeline, aux clients ou aux cibles</t>
  </si>
  <si>
    <t>Contacts « Direction SI / digital »</t>
  </si>
  <si>
    <t>Coordonnées à vérifier (numéros à 8 chiffres)</t>
  </si>
  <si>
    <t>RDV obtenus</t>
  </si>
  <si>
    <t>Dirigeants identifiés (recherche du 15/10/2026)</t>
  </si>
  <si>
    <t>→ Contacts</t>
  </si>
  <si>
    <t>PAR TYPE DE COMPTE</t>
  </si>
  <si>
    <t>Type de compte</t>
  </si>
  <si>
    <t>Nb d’affaires</t>
  </si>
  <si>
    <t>Montant</t>
  </si>
  <si>
    <t>Montant pondéré</t>
  </si>
  <si>
    <t>Commission</t>
  </si>
  <si>
    <t>% Rentabilité</t>
  </si>
  <si>
    <t>Détail</t>
  </si>
  <si>
    <t>Client existant</t>
  </si>
  <si>
    <t>→ Pipeline global</t>
  </si>
  <si>
    <t>Prospect</t>
  </si>
  <si>
    <t>→ Solutions &amp; prospects</t>
  </si>
  <si>
    <t>Appel d’offres</t>
  </si>
  <si>
    <t>→ Appels d’offres</t>
  </si>
  <si>
    <t>Partenaire / apporteur</t>
  </si>
  <si>
    <t>→ NEURONES</t>
  </si>
  <si>
    <t>TOTAL</t>
  </si>
  <si>
    <t>COMPTES EXISTANTS — HISTORIQUE FACTURÉ (détail dans chaque onglet client)</t>
  </si>
  <si>
    <t>Client</t>
  </si>
  <si>
    <t>État de santé</t>
  </si>
  <si>
    <t>Facturé 2024</t>
  </si>
  <si>
    <t>Facturé 2025</t>
  </si>
  <si>
    <t>Facturé 2026</t>
  </si>
  <si>
    <t>Solde à encaisser</t>
  </si>
  <si>
    <t>Offres en cours</t>
  </si>
  <si>
    <t>Fiche</t>
  </si>
  <si>
    <t>CNAM</t>
  </si>
  <si>
    <t>→ CNAM</t>
  </si>
  <si>
    <t>CNPS</t>
  </si>
  <si>
    <t>→ CNPS</t>
  </si>
  <si>
    <t>FER</t>
  </si>
  <si>
    <t>→ FER</t>
  </si>
  <si>
    <t>NSIA</t>
  </si>
  <si>
    <t>→ NSIA</t>
  </si>
  <si>
    <t>Orange Business</t>
  </si>
  <si>
    <t>→ Orange Business</t>
  </si>
  <si>
    <t>NEURONES</t>
  </si>
  <si>
    <t>PAR ÉTAPE</t>
  </si>
  <si>
    <t>Étape</t>
  </si>
  <si>
    <t>M0 – À qualifier</t>
  </si>
  <si>
    <t>M1 – Besoin identifié</t>
  </si>
  <si>
    <t>M2 – Cadrage / découverte</t>
  </si>
  <si>
    <t>M3 – Offre en préparation</t>
  </si>
  <si>
    <t>M4 – Offre remise</t>
  </si>
  <si>
    <t>M5 – Négociation / signature</t>
  </si>
  <si>
    <t>M6 – Gagné</t>
  </si>
  <si>
    <t>Perdu</t>
  </si>
  <si>
    <t>Clôturé / en cessation</t>
  </si>
  <si>
    <t>PAR RESPONSABLE (y compris affaires où IAT n’est pas lead)</t>
  </si>
  <si>
    <t>Lead</t>
  </si>
  <si>
    <t>Affaires P1</t>
  </si>
  <si>
    <t>Commercial IAT</t>
  </si>
  <si>
    <t>Maoula</t>
  </si>
  <si>
    <t>Direction générale</t>
  </si>
  <si>
    <t>À confirmer</t>
  </si>
  <si>
    <t>ONGLETS DU CLASSEUR</t>
  </si>
  <si>
    <t>Toutes les affaires (une ligne par affaire), avec type de compte, lead, étape, priorité</t>
  </si>
  <si>
    <t>Calendrier des échéances et des relances J-90 / J-30 des contrats récurrents</t>
  </si>
  <si>
    <t>Fiche compte : vendu, offres en cours, stratégie</t>
  </si>
  <si>
    <t>Fiche compte</t>
  </si>
  <si>
    <t>Fiche compte + tous les deals transmis (gagnés / soumis / perdus)</t>
  </si>
  <si>
    <t>Fiche partenaire revendeur</t>
  </si>
  <si>
    <t>Suivi des AO et de la veille</t>
  </si>
  <si>
    <t>Stratégie par produit + prospects par solution (Credolab, Wari+, ManageEngine…)</t>
  </si>
  <si>
    <t>→ Plan d’actions</t>
  </si>
  <si>
    <t>Check-list des actions décidées le 13/10/2026</t>
  </si>
  <si>
    <t>Base clients CI : contacts profilés et rattachés au pipeline</t>
  </si>
  <si>
    <t>IAT — Pipeline global</t>
  </si>
  <si>
    <t>Groupe IAG — Suivi AEC | Montants et commissions en FCFA | Toutes les affaires, y compris celles dont IAT n’est pas lead</t>
  </si>
  <si>
    <t>% Rentabilité = Commission / Montant · Montant pondéré = Montant × Closing · Jaune pâle = à compléter · Vert = repris d’une fiche client</t>
  </si>
  <si>
    <t>← Retour à la synthèse</t>
  </si>
  <si>
    <t>AFFAIRES IAT</t>
  </si>
  <si>
    <t>N°</t>
  </si>
  <si>
    <t>Entreprise / Projet</t>
  </si>
  <si>
    <t>Nature de l’affaire</t>
  </si>
  <si>
    <t>Solution / partenaire</t>
  </si>
  <si>
    <t>Origine (domaine)</t>
  </si>
  <si>
    <t>Récurrent / ponctuel</t>
  </si>
  <si>
    <t>Closing</t>
  </si>
  <si>
    <t>Montant (FCFA)</t>
  </si>
  <si>
    <t>Commission (FCFA)</t>
  </si>
  <si>
    <t>Priorité</t>
  </si>
  <si>
    <t>Prochaine étape</t>
  </si>
  <si>
    <t>Échéance</t>
  </si>
  <si>
    <t>Commentaires</t>
  </si>
  <si>
    <t>Service IAT proposé</t>
  </si>
  <si>
    <t>Fiche détaillée</t>
  </si>
  <si>
    <t>Contact clé (base clients CI)</t>
  </si>
  <si>
    <t>MD Participations</t>
  </si>
  <si>
    <t>Mise en place d'un ERP Groupe</t>
  </si>
  <si>
    <t>Odoo Community — périmètre et état de mobilisation à confirmer</t>
  </si>
  <si>
    <t>Approche directe (à valider)</t>
  </si>
  <si>
    <t>préavis en cours - établir contradictoirement la réalité de la mobilisation</t>
  </si>
  <si>
    <t>Affaire en cessation - cloture acté</t>
  </si>
  <si>
    <t>Intégration ERP et transformation des processus</t>
  </si>
  <si>
    <t>Orange Burkina (via Orange Business)</t>
  </si>
  <si>
    <t>Migration Microsoft Exchange</t>
  </si>
  <si>
    <t>Microsoft Exchange / Microsoft 365 — via OC²S</t>
  </si>
  <si>
    <t>Consultation via partenaire (OC²S)</t>
  </si>
  <si>
    <t>Ponctuel</t>
  </si>
  <si>
    <t>P1</t>
  </si>
  <si>
    <t>Fixer une date de décision avec Judicaël KOUTOU (échéance actuellement non renseignée) · Identifier le décideur final côté Orange Burkina · Préparer une position de repli tarifaire avant concession</t>
  </si>
  <si>
    <t>Négociation en cours | M5/M6 - Négociation post-remise d'offre (à valider) | Offre remise depuis plus de 2 mois : nécessite une relance structurée.</t>
  </si>
  <si>
    <t>Migration de messagerie et environnement collaboratif</t>
  </si>
  <si>
    <t>Orange Liberia (via Orange Business)</t>
  </si>
  <si>
    <t>Audit des assets SAM (Software Asset Management)</t>
  </si>
  <si>
    <t>Outils SAM à confirmer — expertise / mobilisation via OC²S</t>
  </si>
  <si>
    <t>Fixer une date de décision · Clarifier les contraintes locales (Liberia : logistique, fiscalité, langue de restitution) · Sécuriser la disponibilité de l'auditeur SAM sur la fenêtre d'intervention</t>
  </si>
  <si>
    <t>Négociation en cours | M5/M6 - Négociation post-remise d'offre (à valider) | Affaire jumelle du dossier Orange Burkina : à traiter dans une même séquence de relance OC²S.</t>
  </si>
  <si>
    <t>Audit Software Asset Management (SAM)</t>
  </si>
  <si>
    <t>KAYDAN</t>
  </si>
  <si>
    <t>À COMPLÉTER — intitulé de l'affaire à préciser</t>
  </si>
  <si>
    <t>Odoo CRM / modules de gestion — à valider après découverte</t>
  </si>
  <si>
    <t>A Valider</t>
  </si>
  <si>
    <t>P2</t>
  </si>
  <si>
    <t>Non qualifié — seul le contact est renseigné | M0 - À qualifier | Décision attendue : qualifier ou sortir du portefeuille.</t>
  </si>
  <si>
    <t>CRM, gestion commerciale et digitalisation immobilière — à qualifier</t>
  </si>
  <si>
    <t>Renouvellement licences ManageEngine 2026</t>
  </si>
  <si>
    <t>ManageEngine — modules et licences exacts à confirmer</t>
  </si>
  <si>
    <t>ManageEngine</t>
  </si>
  <si>
    <t>Récurrent</t>
  </si>
  <si>
    <t>P3</t>
  </si>
  <si>
    <t>—</t>
  </si>
  <si>
    <t>Facturé le 27/02/2026 et soldé (compta). Historique : 69,8 M (2024) · 66,3 M (2025) · 66,3 M (2026).</t>
  </si>
  <si>
    <t>Support et gestion des services IT / licences</t>
  </si>
  <si>
    <t>Direction : DG : Karim Bamba (confirmé) · DGA : Ahmed Tidiane Diomandé (confirmé)</t>
  </si>
  <si>
    <t>Contrat de maintenance ManageEngine 2026</t>
  </si>
  <si>
    <t>Relancer la direction financière CNAM pour le solde (facture jointe)</t>
  </si>
  <si>
    <t>Facturation trimestrielle de 4,5 M : 13,5 M encaissés, solde 4,5 M (compta).</t>
  </si>
  <si>
    <t>Renouvellement licences ManageEngine 2027</t>
  </si>
  <si>
    <t>Préparer l’offre de renouvellement avant la relance J-90</t>
  </si>
  <si>
    <t>Échéance 27/02/2027 · relance J-90 le 29/11/2026. Montant de base = dernière facturation.</t>
  </si>
  <si>
    <t>Relance commerciale + rendez-vous avec la DSI CNPS pour obtenir la décision</t>
  </si>
  <si>
    <t>Échu depuis le 10/02/2026 ; offre envoyée, attente client (compta). 22,7 M = montant évoqué en réunion, non chiffré dans le point comptable. Base 2025 : 21 578 849.</t>
  </si>
  <si>
    <t>Direction : DG : Denis Charles Kouassi (confirmé) · DGA chargé de l’exploitation : Idriss Traoré (à confirmer) · DSI : Thierry Bahi (à confirmer)
Gballet BEUGRE — Directeur du Système d'Information (DSI) · Cel:(225)08305255 · g.beugre@cnps.ci (+7 autres dans l’onglet Contacts)</t>
  </si>
  <si>
    <t>Offre ≈ 59 M envoyée — non encore validée</t>
  </si>
  <si>
    <t>À préciser</t>
  </si>
  <si>
    <t>Récupérer l’offre · fixer une date de décision</t>
  </si>
  <si>
    <t>Offre absente du point transmis par Désiré (réunion du 13/10). Objet et date d’envoi à compléter. Rattachement à la CNPS à confirmer (transcription « CNTS / CNT »).</t>
  </si>
  <si>
    <t>FER (Fond d'entretien Routier)</t>
  </si>
  <si>
    <t>Licences ManageEngine 2026</t>
  </si>
  <si>
    <t>ManageEngine — produit et périmètre à confirmer</t>
  </si>
  <si>
    <t>Point de satisfaction avant la relance J-90 (26/03/2027)</t>
  </si>
  <si>
    <t>Nouveau client 2026 : facturé 28 766 400 le 24/06/2026, soldé (compta). Renouvellement le 24/06/2027.</t>
  </si>
  <si>
    <t>Licences et gestion des services IT</t>
  </si>
  <si>
    <t>Direction : Directrice générale : Annick Tohé Lasmel (confirmé) · Directeur financier et comptable : Moussa Diarra (à confirmer)</t>
  </si>
  <si>
    <t>Sécurisation boîtes mails</t>
  </si>
  <si>
    <t>Vérifier avec la compta · planifier la formation prévue</t>
  </si>
  <si>
    <t>Ligne du pipeline d’origine (coût des ventes 1 065 000) non retrouvée dans la facturation transmise par la compta : vérifier si elle est incluse dans les 28,8 M ou reste à facturer.</t>
  </si>
  <si>
    <t>NSIA (Assurances / Assurances Vie)</t>
  </si>
  <si>
    <t>Prochaine échéance 18/09/2027</t>
  </si>
  <si>
    <t>Client depuis 2024 (compta) : 1,0 M (2024) · 1,0 M (2025) · 1,6 M (2026). Renouvelle chaque année en septembre.</t>
  </si>
  <si>
    <t>Direction : DG : Sonia Nadège Seka (à confirmer) · DGA : Gérard Gilles Akou (confirmé) · Directeur du réseau des particuliers : Jacques Avenie (à confirmer)
NSIA PARTICIPATION : Gabriel COMOE-EDANOU — Directeur Des Opérations et de la Technologies Groupe · 0749595963 · gabriel.comoe-edanou@groupensia.com (+2 autres dans l’onglet Contacts)
NSIA Banque : AMANGOUA Alexandre · 07 88 86 46 22 · alexandre.armangouah@groupensia.com (+3 autres dans l’onglet Contacts)</t>
  </si>
  <si>
    <t>Renouvellement licence WithSecure 2026</t>
  </si>
  <si>
    <t>WithSecure</t>
  </si>
  <si>
    <t>Relancer le fournisseur pour la cotation, puis émettre l’offre client</t>
  </si>
  <si>
    <t>Échu depuis le 21/08/2026 : blocage côté fournisseur, attente de cotation (compta). Base 2025 : 7 383 000 (soldé).</t>
  </si>
  <si>
    <t>Licences de sécurité des postes (endpoint)</t>
  </si>
  <si>
    <t>Direction : PDG : Luc de Chammard (confirmé) · DG délégué : Bertrand Ducurtil (à confirmer) · Directeur marketing et communication : Matthieu Vautier (à confirmer)</t>
  </si>
  <si>
    <t xml:space="preserve">GIZ </t>
  </si>
  <si>
    <t>À COMPLÉTER — intitulé de l’affaire à préciser</t>
  </si>
  <si>
    <t>Aucune donnée dans le fichier d’origine.</t>
  </si>
  <si>
    <t>Le Médiateur de la République de Côte d'Ivoire (à valider)</t>
  </si>
  <si>
    <t>Plateforme e-Médiation (via OC²S)</t>
  </si>
  <si>
    <t>Plateforme e-Médiation via OC²S — rôle, solution et périmètre à confirmer</t>
  </si>
  <si>
    <t>Appel d'offres public (à valider)</t>
  </si>
  <si>
    <t>Compléter la fiche : entité porteuse, montant, calendrier de l'AO, pièces attendues · Confirmer le rôle d'OC²S (mandataire / sous-traitant) et formaliser l'accord de groupement · Verrouiller le rétroplanning de dépôt</t>
  </si>
  <si>
    <t>En cours de montage (à valider) — données non renseignées dans le fichier source | M0 - À qualifier | Ligne présente dans le fichier sous l'intitulé « OCCS EMEDIATION » sans aucune donnée. Pré-renseignée ici sur la base du contexte connu : À VALIDER avant diffusion.</t>
  </si>
  <si>
    <t>Plateforme de e-médiation et intégration applicative — à valider</t>
  </si>
  <si>
    <t>AGITECH (AG Tech Afrik)</t>
  </si>
  <si>
    <t>Solution MDM — Mobile Device Management (40 terminaux)</t>
  </si>
  <si>
    <t>Solution MDM à sélectionner; ManageEngine Endpoint Central à évaluer, sans engagement à ce stade</t>
  </si>
  <si>
    <t>Demande de cotation — affaire indirecte (client final via AGITECH)</t>
  </si>
  <si>
    <t>QUICK WIN : produire la cotation sous 5 jours ouvrés · Sélectionner l'éditeur MDM et obtenir le prix partenaire · Clarifier l'identité du client final et le potentiel d'extension du parc</t>
  </si>
  <si>
    <t>Demande de cotation reçue — offre non remise | M1 - Besoin identifié / demande d'étude | Faible montant mais forte valeur d'entrée : porte d'accès au client final et à un partenaire prescripteur.</t>
  </si>
  <si>
    <t>Gestion des terminaux mobiles (MDM) — cotation</t>
  </si>
  <si>
    <t>SIFCA</t>
  </si>
  <si>
    <t>Transformation digitale et pilotage des processus métiers</t>
  </si>
  <si>
    <t>Odoo Community / Microsoft Power Platform ou BI — à valider selon architecture existante</t>
  </si>
  <si>
    <t>Prospection directe (à initier)</t>
  </si>
  <si>
    <t>Identifier DSI / finance / opérations · Obtenir un rendez-vous de découverte · Vérifier les systèmes en place et les achats en cours</t>
  </si>
  <si>
    <t>Approche grands comptes : cartographier les filiales et identifier un besoin métier prioritaire; ne pas présumer d’un remplacement ERP. | M0 - À qualifier | Prospect nouveau : besoin, budget, décideur et calendrier non confirmés.</t>
  </si>
  <si>
    <t>Transformation des processus, ERP et reporting</t>
  </si>
  <si>
    <t>PALMCI</t>
  </si>
  <si>
    <t>Pilotage opérationnel, stocks et maintenance</t>
  </si>
  <si>
    <t>Odoo / outil de gestion des interventions / Microsoft BI — choix à confirmer après cadrage</t>
  </si>
  <si>
    <t>Contacter DSI et direction industrielle · Identifier un processus pilote · Confirmer contraintes sites et intégrations</t>
  </si>
  <si>
    <t>Hypothèse de besoin à valider; éviter toute proposition de remplacement du système industriel sans audit. | M0 - À qualifier | Prospect nouveau : besoin, budget, décideur et calendrier non confirmés.</t>
  </si>
  <si>
    <t>Gestion opérationnelle, maintenance et reporting</t>
  </si>
  <si>
    <t>Olam Cocoa Processing Abidjan</t>
  </si>
  <si>
    <t>Pilotage des flux et automatisation des processus support</t>
  </si>
  <si>
    <t>Microsoft Power Platform / outils BI / intégration API — à confirmer après découverte</t>
  </si>
  <si>
    <t>Identifier IT / supply chain / opérations · Qualifier le processus cible et le décideur · Vérifier fournisseurs en place</t>
  </si>
  <si>
    <t>Prospecter un processus périphérique et mesurable plutôt que les systèmes industriels critiques. | M0 - À qualifier | Prospect nouveau : besoin, budget, décideur et calendrier non confirmés.</t>
  </si>
  <si>
    <t>Automatisation, intégration et reporting</t>
  </si>
  <si>
    <t>Alain MOGO — DSI Groupe · 05 06 72 72 82 (+1 autre dans l’onglet Contacts)</t>
  </si>
  <si>
    <t>PROSUMA</t>
  </si>
  <si>
    <t>Automatisation, gestion documentaire et reporting</t>
  </si>
  <si>
    <t>Microsoft 365 / Power Automate / Power BI — licences et architecture à vérifier</t>
  </si>
  <si>
    <t>Identifier DSI / finance / opérations · Proposer un atelier de découverte · Quantifier le processus manuel ciblé</t>
  </si>
  <si>
    <t>Chercher un cas d’usage transversal et borné; ne pas présumer d’un besoin de refonte globale. | M0 - À qualifier | Prospect nouveau : besoin, budget, décideur et calendrier non confirmés.</t>
  </si>
  <si>
    <t>Automatisation des processus et pilotage décisionnel</t>
  </si>
  <si>
    <t>Direction : Dirigeants (DG / PDG) : Abou Kassam et Karim Fakhry (confirmé) · DSI : Moussa Touré (à confirmer)
Moussa TOURE — DSI · D : (+225) 27 21 25 34 16 / 07 57 25 79 54 · Moussa.Toure@prosuma.ci (+3 autres dans l’onglet Contacts)</t>
  </si>
  <si>
    <t>Africa Global Logistics Côte d’Ivoire (AGL)</t>
  </si>
  <si>
    <t>Automatisation des workflows et services IT complémentaires</t>
  </si>
  <si>
    <t>Microsoft 365 / Power Platform / cloud partenaire — à confirmer selon exigences client</t>
  </si>
  <si>
    <t>Identifier DSI / opérations · Rechercher un lot complémentaire · Qualifier exigences de sécurité et références requises</t>
  </si>
  <si>
    <t>Cibler les fonctions support ou un lot externalisable sans intervenir d’emblée sur les systèmes logistiques critiques. | M0 - À qualifier | Prospect nouveau : besoin, budget, décideur et calendrier non confirmés.</t>
  </si>
  <si>
    <t>Workflows, intégration applicative et services d’infrastructure</t>
  </si>
  <si>
    <t>Dimitri ADON — Chef de Département Infrastructure et Technique · 07 59 92 72 42 / 07 47 72 63 44 · Dimitri.ADON@bollore.com</t>
  </si>
  <si>
    <t>SODECI</t>
  </si>
  <si>
    <t>Digitalisation des processus support et maintenance IT</t>
  </si>
  <si>
    <t>ManageEngine / Microsoft Power Platform — modules à confirmer</t>
  </si>
  <si>
    <t>Identifier DSI / achats / moyens généraux · Vérifier procédure de référencement fournisseur · Proposer un atelier de cadrage</t>
  </si>
  <si>
    <t>Approche ciblée; qualifier procédures d’achat, exigences de sécurité et contrats existants. | M0 - À qualifier | Prospect nouveau : besoin, budget, décideur et calendrier non confirmés.</t>
  </si>
  <si>
    <t>Automatisation, gestion des services IT et reporting</t>
  </si>
  <si>
    <t>Hermann N'ganza — DTI · 0506323236 · hermann.nganza@gs2e.ci (+6 autres dans l’onglet Contacts)</t>
  </si>
  <si>
    <t>CIE</t>
  </si>
  <si>
    <t>Automatisation des workflows et résilience IT</t>
  </si>
  <si>
    <t>ManageEngine / Microsoft / partenaire cybersécurité — périmètre à confirmer</t>
  </si>
  <si>
    <t>Identifier DSI / opérations / achats · Qualifier le périmètre non critique · Vérifier exigences et procédure de consultation</t>
  </si>
  <si>
    <t>Ne pas proposer de changement sur systèmes critiques sans références et validation technique appropriées. | M0 - À qualifier | Prospect nouveau : besoin, budget, décideur et calendrier non confirmés.</t>
  </si>
  <si>
    <t>Services IT, continuité d’activité et automatisation</t>
  </si>
  <si>
    <t>CIE : Tanoh Hermann · 0709332615 · batanoh@cie.ci
GS2E : Hermann N'ganza — DTI · 0506323236 · hermann.nganza@gs2e.ci (+6 autres dans l’onglet Contacts)</t>
  </si>
  <si>
    <t>Air Côte d’Ivoire</t>
  </si>
  <si>
    <t>Services IT complémentaires, gestion documentaire et résilience</t>
  </si>
  <si>
    <t>Microsoft 365 / outils de workflow / partenaire cybersécurité — à valider</t>
  </si>
  <si>
    <t>Identifier DSI / sécurité / achats · Confirmer les lots accessibles et références exigées · Évaluer calendrier d’achat</t>
  </si>
  <si>
    <t>Cibler un besoin périphérique au SI aéronautique; qualification de sécurité obligatoire. | M0 - À qualifier | Prospect nouveau : besoin, budget, décideur et calendrier non confirmés.</t>
  </si>
  <si>
    <t>Automatisation, gestion documentaire et résilience IT</t>
  </si>
  <si>
    <t>Martial DIABATE — RSI · 07 69 55 95 70 · ma.diabate@aircotedivoire.com (+3 autres dans l’onglet Contacts)</t>
  </si>
  <si>
    <t>GIG (Groupement d’Industries Générales)</t>
  </si>
  <si>
    <t>Gestion des stocks, achats et opérations</t>
  </si>
  <si>
    <t>Odoo Community — uniquement si adéquation confirmée après audit</t>
  </si>
  <si>
    <t>Vérifier l’identité et le périmètre de l’entreprise · Identifier dirigeant / finance / opérations · Proposer entretien découverte</t>
  </si>
  <si>
    <t>Prospect à qualifier; confirmer l’entité exacte, les activités et le système existant avant proposition. | M0 - À qualifier | Prospect nouveau : besoin, budget, décideur et calendrier non confirmés.</t>
  </si>
  <si>
    <t>ERP et transformation des processus</t>
  </si>
  <si>
    <t>Banian Group</t>
  </si>
  <si>
    <t>Gestion interfiliales, CRM et tableaux de bord</t>
  </si>
  <si>
    <t>Odoo CRM / Microsoft Power Platform / BI — à définir après cadrage</t>
  </si>
  <si>
    <t>Cartographier les filiales et décideurs · Identifier un pilote · Vérifier systèmes et priorités budgétaires</t>
  </si>
  <si>
    <t>Approche groupe, mais qualification filiale par filiale et décisionnaire par décisionnaire. | M0 - À qualifier | Prospect nouveau : besoin, budget, décideur et calendrier non confirmés.</t>
  </si>
  <si>
    <t>CRM, workflows et pilotage multi-entités</t>
  </si>
  <si>
    <t>CDC-CI (Caisse des Dépôts et Consignations de Côte d’Ivoire)</t>
  </si>
  <si>
    <t>Digitalisation des processus et gestion documentaire</t>
  </si>
  <si>
    <t>Microsoft 365 / Power Platform / GED partenaire — conformité et périmètre à confirmer</t>
  </si>
  <si>
    <t>Surveiller les avis et manifestations d’intérêt · Vérifier critères d’éligibilité et références · Identifier le service demandeur</t>
  </si>
  <si>
    <t>Veille sur les consultations officielles; aucune opportunité d’appel d’offres présumée ouverte. | M0 - À qualifier | Prospect nouveau : besoin, budget, décideur et calendrier non confirmés.</t>
  </si>
  <si>
    <t>Gestion documentaire, automatisation et reporting</t>
  </si>
  <si>
    <t>MTN Côte d’Ivoire</t>
  </si>
  <si>
    <t>Automatisation métiers et solutions numériques complémentaires</t>
  </si>
  <si>
    <t>Microsoft / API / plateforme IA sécurisée — technologie à sélectionner après qualification</t>
  </si>
  <si>
    <t>Identifier direction IT / innovation / opérations · Cartographier contrats et partenaires en place · Qualifier un cas d’usage</t>
  </si>
  <si>
    <t>Compte stratégique avec écosystème technologique mature; chercher un besoin précis et une porte d’entrée partenaire. | M0 - À qualifier | Prospect nouveau : besoin, budget, décideur et calendrier non confirmés.</t>
  </si>
  <si>
    <t>Automatisation, intégration applicative et IA métier</t>
  </si>
  <si>
    <t>MTN : Corinne N’TAPKE — Manager Technology Process · 22505238080 · Corinne.n’tapke@mtn.com (+10 autres dans l’onglet Contacts)
MTN BUSINESS : Hervé ZANDO · 22505044448 · Herve.Zando@mtn.com (+3 autres dans l’onglet Contacts)</t>
  </si>
  <si>
    <t>Orange Business — E-Agri</t>
  </si>
  <si>
    <t>Plateforme E-Agri (commercialisation de produits vivriers)</t>
  </si>
  <si>
    <t>Développement plateforme — partenaires</t>
  </si>
  <si>
    <t>Faire le point sur l’avancement du développement par les partenaires</t>
  </si>
  <si>
    <t>Contrat de réalisation + revenue sharing avec Orange en exploitation (réunion du 13/10). Montant et avancement à compléter ; aucune facturation dans le point comptable.</t>
  </si>
  <si>
    <t>Développement de plateforme numérique</t>
  </si>
  <si>
    <t>Mame DIOP — DSI · 22507799662 · mame.diopba@orange.com (+7 autres dans l’onglet Contacts)</t>
  </si>
  <si>
    <t>Client à préciser (projet digitalisation)</t>
  </si>
  <si>
    <t>Digitalisation du pôle opérationnel</t>
  </si>
  <si>
    <t>Développement sur mesure (à transformer en produit)</t>
  </si>
  <si>
    <t>Approche directe</t>
  </si>
  <si>
    <t>RDV du 19/10 pour finaliser le cahier des charges</t>
  </si>
  <si>
    <t>Accord de principe donné. 36 M payés 1 M / mois sur 3 ans. Cahier des charges presque finalisé. Hypothèse : client = groupe PROSUMA (le « grand frère Aboukassar » cité en réunion ≈ Abou Kassam, codirigeant de PROSUMA ; entrepôts sec / frais cohérents avec la distribution) — à confirmer.</t>
  </si>
  <si>
    <t>Digitalisation des processus</t>
  </si>
  <si>
    <t>Prisme + portail (complément)</t>
  </si>
  <si>
    <t>Développement sur mesure</t>
  </si>
  <si>
    <t>Finaliser la cotation · la valider ensemble · l’émettre sur papier à en-tête Infinity</t>
  </si>
  <si>
    <t>Hypothèse : ≈ 3 M / mois sur 24 mois (option paiement comptant à chiffrer). Argument : remplace la saisie manuelle de ≈ 20 comptables juniors.</t>
  </si>
  <si>
    <t>Projets entrepôts (sec / frais)</t>
  </si>
  <si>
    <t>À définir</t>
  </si>
  <si>
    <t>Qualifier après le lancement du projet de digitalisation</t>
  </si>
  <si>
    <t>Évoqué par le client comme projet suivant.</t>
  </si>
  <si>
    <t>Ministère des Transports</t>
  </si>
  <si>
    <t>Gestion de flotte automobile</t>
  </si>
  <si>
    <t>Éditeur partenaire (boîtier + 4G + plateforme)</t>
  </si>
  <si>
    <t>Prospection directe</t>
  </si>
  <si>
    <t>Obtenir des tests sur les véhicules de l’entreprise avant de se positionner</t>
  </si>
  <si>
    <t>Solution à challenger techniquement ; cible : grands parcs automobiles (PND).</t>
  </si>
  <si>
    <t>Gestion de flotte</t>
  </si>
  <si>
    <t>SGI (BOA, BNI…)</t>
  </si>
  <si>
    <t>Plateforme d’investissement Wari+ (marque blanche)</t>
  </si>
  <si>
    <t>Wari+ — partenariat à signer</t>
  </si>
  <si>
    <t>Via le partenaire éditeur</t>
  </si>
  <si>
    <t>Signer le partenariat · préparer la démo du salon</t>
  </si>
  <si>
    <t>Prix plancher éditeur 45 M, revenue sharing au-delà. Démo interactive prévue au Salon de l’Épargne (22-23/10).</t>
  </si>
  <si>
    <t>Plateforme front-office d’investissement</t>
  </si>
  <si>
    <t>BOA BANK CI : johnson YAPI — DSI GROUPE · 221 07 77 482 0450 · jyapi@boaholding.com (+7 autres dans l’onglet Contacts)
BNI : Noufe — DSI · 07 07620719 · anoufe@bni.ci (+6 autres dans l’onglet Contacts)</t>
  </si>
  <si>
    <t>Mutuelle Nationale de Madagascar</t>
  </si>
  <si>
    <t>Création d’une plateforme</t>
  </si>
  <si>
    <t>Réseau (Madagascar)</t>
  </si>
  <si>
    <t>Faire le point avec Maoula</t>
  </si>
  <si>
    <t>Demande de proposition transmise par Maoula ; suivi à reprendre.</t>
  </si>
  <si>
    <t>Deals B2B Direction — Huawei</t>
  </si>
  <si>
    <t>À compléter</t>
  </si>
  <si>
    <t>Huawei</t>
  </si>
  <si>
    <t>Compléter avec la Direction</t>
  </si>
  <si>
    <t>Deals gérés par la Direction : à faire figurer pour le suivi même si IAT n’est pas lead.</t>
  </si>
  <si>
    <t>Deals B2B Direction — DGF</t>
  </si>
  <si>
    <t>IAT — Renouvellements</t>
  </si>
  <si>
    <t>Contrats récurrents (licences et maintenance) · Source : point comptable du 13/10/2026 · Montants en FCFA</t>
  </si>
  <si>
    <t>Prochaine échéance = dernière facturation + 12 mois · Jaune pâle = à renseigner · Vert = repris d’une fiche client · colonnes calculées : échéance, jours, relances, alerte</t>
  </si>
  <si>
    <t>CALENDRIER ET SUIVI DES RELANCES DE RENOUVELLEMENT</t>
  </si>
  <si>
    <t>Contrat / produit</t>
  </si>
  <si>
    <t>Dernière facturation</t>
  </si>
  <si>
    <t>Dernier montant facturé</t>
  </si>
  <si>
    <t>Historique facturé</t>
  </si>
  <si>
    <t>Prochaine échéance</t>
  </si>
  <si>
    <t>Jours restants</t>
  </si>
  <si>
    <t>Relance J-90</t>
  </si>
  <si>
    <t>Relance J-30</t>
  </si>
  <si>
    <t>Alerte</t>
  </si>
  <si>
    <t>Statut du renouvellement</t>
  </si>
  <si>
    <t>Porteur</t>
  </si>
  <si>
    <t>Date dernière relance</t>
  </si>
  <si>
    <t>Prochaine action</t>
  </si>
  <si>
    <t>Commentaire</t>
  </si>
  <si>
    <t>Licences ManageEngine</t>
  </si>
  <si>
    <t>2025 : 21,6 M</t>
  </si>
  <si>
    <t>Offre envoyée</t>
  </si>
  <si>
    <t>Offre 2026 en attente de retour CNPS. Échéance dépassée.</t>
  </si>
  <si>
    <t>Licence WithSecure</t>
  </si>
  <si>
    <t>2025 : 7,4 M</t>
  </si>
  <si>
    <t>Attente cotation fournisseur</t>
  </si>
  <si>
    <t>Relancer le fournisseur pour la cotation, puis émettre l’offre</t>
  </si>
  <si>
    <t>Blocage côté fournisseur. Échéance dépassée.</t>
  </si>
  <si>
    <t>2024 : 69,8 M · 2025 : 66,3 M · 2026 : 66,3 M</t>
  </si>
  <si>
    <t>Non démarré</t>
  </si>
  <si>
    <t>Préparer l’offre de renouvellement 2027 avant la relance J-90</t>
  </si>
  <si>
    <t>Premier contrat : 46 % du montant récurrent annuel.</t>
  </si>
  <si>
    <t>2026 : 28,8 M (nouveau client)</t>
  </si>
  <si>
    <t>Point de satisfaction client avant la relance J-90</t>
  </si>
  <si>
    <t>2024 : 1,0 M · 2025 : 1,0 M · 2026 : 1,6 M</t>
  </si>
  <si>
    <t>Renouvelle chaque année en septembre.</t>
  </si>
  <si>
    <t>Contrat de maintenance ManageEngine</t>
  </si>
  <si>
    <t>2025 : 18 M · 2026 : 18 M</t>
  </si>
  <si>
    <t>Renseigner la date de facturation / d’échéance du contrat</t>
  </si>
  <si>
    <t>Date de facturation « N/A » dans le point comptable : saisir l’échéance en colonne H. Solde 2026 de 4,5 M encore à encaisser.</t>
  </si>
  <si>
    <t>TOTAL — montant récurrent annuel (base dernière facturation)</t>
  </si>
  <si>
    <t>CNAM — Fiche compte</t>
  </si>
  <si>
    <t>Client existant IAT | Montants en FCFA | Facturation et encaissements : point comptabilité au 13/10/2026</t>
  </si>
  <si>
    <t>Cellules jaune pâle = information à compléter · Texte vert = valeur reprise d’un autre onglet</t>
  </si>
  <si>
    <t>1. FICHE COMPTE</t>
  </si>
  <si>
    <t>Secteur</t>
  </si>
  <si>
    <t>Protection sociale / assurance maladie</t>
  </si>
  <si>
    <t>Direction générale (recherche du 15/10/2026)</t>
  </si>
  <si>
    <t>DG : Karim Bamba (confirmé) · DGA : Ahmed Tidiane Diomandé (confirmé)</t>
  </si>
  <si>
    <t>Interlocuteur direction (nom / fonction)</t>
  </si>
  <si>
    <t>Interlocuteur opérationnel (nom / fonction)</t>
  </si>
  <si>
    <t>Responsable IAT (lead commercial)</t>
  </si>
  <si>
    <t>Relation haut niveau gérée par</t>
  </si>
  <si>
    <t>État de santé du compte</t>
  </si>
  <si>
    <t>Taux de satisfaction (1 à 5)</t>
  </si>
  <si>
    <t>Dernier contact</t>
  </si>
  <si>
    <t>Prochain point prévu</t>
  </si>
  <si>
    <t>Notes (réunion du 13/10/2026 et comptabilité)</t>
  </si>
  <si>
    <t>Premier client IAT : 46 % du montant récurrent annuel (compta). Contrats récurrents : licences ManageEngine (renouvellement annuel, prochaine échéance 27/02/2027) + contrat de maintenance facturé 4,5 M par trimestre. Un nouveau directeur est arrivé sur un compte suivi en haut par Maoula : le prendre en charge côté opérationnel (rattachement à la CNAM à confirmer).</t>
  </si>
  <si>
    <t>DIRIGEANTS — CNAM (Côte d’Ivoire) (recherche web + LinkedIn, données au 15/10/2026)</t>
  </si>
  <si>
    <t>Fonction</t>
  </si>
  <si>
    <t>Nom</t>
  </si>
  <si>
    <t>Fiabilité</t>
  </si>
  <si>
    <t>Source / remarque</t>
  </si>
  <si>
    <t>DG</t>
  </si>
  <si>
    <t>Karim Bamba</t>
  </si>
  <si>
    <t>Confirmé</t>
  </si>
  <si>
    <t>Site officiel (ipscnam.ci) ; pas de profil LinkedIn trouvé.</t>
  </si>
  <si>
    <t>DGA</t>
  </si>
  <si>
    <t>Ahmed Tidiane Diomandé</t>
  </si>
  <si>
    <t>LinkedIn : Directeur Général Adjoint.</t>
  </si>
  <si>
    <t>DSI</t>
  </si>
  <si>
    <t>Non trouvé</t>
  </si>
  <si>
    <t>Directeur commercial</t>
  </si>
  <si>
    <t>CONTACTS — BASE CLIENTS CI (aucun contact trouvé)</t>
  </si>
  <si>
    <t>Profil</t>
  </si>
  <si>
    <t>Téléphone</t>
  </si>
  <si>
    <t>Email</t>
  </si>
  <si>
    <t>Aucun contact dans la base clients CI : à compléter</t>
  </si>
  <si>
    <t>2. CE QUI A DÉJÀ ÉTÉ VENDU ET FACTURÉ (historique, encaissements, récurrent / ponctuel)</t>
  </si>
  <si>
    <t>Produit / service</t>
  </si>
  <si>
    <t>Partenaire / éditeur</t>
  </si>
  <si>
    <t>Exercice</t>
  </si>
  <si>
    <t>Date de facturation</t>
  </si>
  <si>
    <t>Montant facturé</t>
  </si>
  <si>
    <t>Coût des ventes</t>
  </si>
  <si>
    <t>CA net</t>
  </si>
  <si>
    <t>Marge</t>
  </si>
  <si>
    <t>Encaissé</t>
  </si>
  <si>
    <t>Licences ManageEngine (déploiement)</t>
  </si>
  <si>
    <t>Encaissé le 05/02/2025 (chèque 5770692).</t>
  </si>
  <si>
    <t>Encaissé le 01/12/2025.</t>
  </si>
  <si>
    <t>N/A</t>
  </si>
  <si>
    <t>Date de facturation non renseignée (N/A). Encaissé en déc. 2025 (9 M + 4,5 M + 4,5 M).</t>
  </si>
  <si>
    <t>Licences ManageEngine (renouvellement)</t>
  </si>
  <si>
    <t>Soldé. Coût des ventes et commission repris du pipeline d’origine.</t>
  </si>
  <si>
    <t>Facturation trimestrielle de 4,5 M. Solde de 4,5 M à relancer auprès de la direction financière (échéance 01/12/2026). Date de facturation à renseigner.</t>
  </si>
  <si>
    <t>TOTAL FACTURÉ (tous exercices)</t>
  </si>
  <si>
    <t>dont exercice 2026</t>
  </si>
  <si>
    <t>3. OFFRES EN COURS / À SUIVRE (envoyées, non encore validées, renouvellements)</t>
  </si>
  <si>
    <t>Offre / affaire</t>
  </si>
  <si>
    <t>Date d’envoi</t>
  </si>
  <si>
    <t>Échéance décision</t>
  </si>
  <si>
    <t>Responsable</t>
  </si>
  <si>
    <t>Préparer l’offre de renouvellement avant la relance J-90 (29/11/2026).</t>
  </si>
  <si>
    <t>Échéance du contrat : 27/02/2027. Montant de base = dernière facturation.</t>
  </si>
  <si>
    <t>TOTAL OFFRES EN COURS</t>
  </si>
  <si>
    <t>4. STRATÉGIE DE CONTINUITÉ ET DE DÉVELOPPEMENT (vente croisée, renouvellement)</t>
  </si>
  <si>
    <t>Opportunité</t>
  </si>
  <si>
    <t>Valeur pour le client / action à mener</t>
  </si>
  <si>
    <t>Étendre la couverture ManageEngine (autres modules)</t>
  </si>
  <si>
    <t>Présentation de l’offre complète ManageEngine (avec Salim / Kade) et cartographie des modules non encore vendus.</t>
  </si>
  <si>
    <t>Mesurer la satisfaction et sécuriser le renouvellement 2027</t>
  </si>
  <si>
    <t>Licences + maintenance</t>
  </si>
  <si>
    <t>Point de satisfaction avec l’équipe opérationnelle avant la relance J-90 ; encaisser le solde de maintenance avant de renégocier.</t>
  </si>
  <si>
    <t>CNPS — Fiche compte</t>
  </si>
  <si>
    <t>Protection sociale</t>
  </si>
  <si>
    <t>DG : Denis Charles Kouassi (confirmé) · DGA chargé de l’exploitation : Idriss Traoré (à confirmer) · DSI : Thierry Bahi (à confirmer)</t>
  </si>
  <si>
    <t>Gballet BEUGRE — Directeur du Système d'Information (DSI) (base clients — coordonnées ci-dessous)</t>
  </si>
  <si>
    <t>Innocent YAPI — RSSI ; Amadou DIOMANDOU — Chef de Departement Infrastructure et Exploitation ; Daouda COULIBALY — Chef du Service Système Réseau et NTIC (base clients)</t>
  </si>
  <si>
    <t>Achats / marchés</t>
  </si>
  <si>
    <t>Nomel Lorgn Florent — Acheteur ; Mme YASSI Née DIALLO — Resp Chargés des Marchés (base clients)</t>
  </si>
  <si>
    <t>Renouvellement des licences échu depuis le 10/02/2026 : offre 2026 envoyée, en attente de retour (compta). La réunion du 13/10 évoque un contrat de 22 700 000 envoyé à la signature et une autre offre d’environ 59 M non validée. Le montant du renouvellement n’est pas chiffré dans le point comptable : à rapprocher.</t>
  </si>
  <si>
    <t>DIRIGEANTS — CNPS (Côte d’Ivoire) (recherche web + LinkedIn, données au 15/10/2026)</t>
  </si>
  <si>
    <t>Denis Charles Kouassi</t>
  </si>
  <si>
    <t>LinkedIn + presse.</t>
  </si>
  <si>
    <t>DGA chargé de l’exploitation</t>
  </si>
  <si>
    <t>Idriss Traoré</t>
  </si>
  <si>
    <t>Profil LinkedIn en lecture limitée.</t>
  </si>
  <si>
    <t>Thierry Bahi</t>
  </si>
  <si>
    <t>Cité en déc. 2023, introuvable sur LinkedIn. ⚠ La base clients CI indique Gballet BEUGRE comme DSI : à trancher.</t>
  </si>
  <si>
    <t>CONTACTS — BASE CLIENTS CI (CNPS)</t>
  </si>
  <si>
    <t>Gballet BEUGRE</t>
  </si>
  <si>
    <t>Directeur du Système d'Information (DSI)</t>
  </si>
  <si>
    <t>Direction SI / digital</t>
  </si>
  <si>
    <t>Cel:(225)08305255</t>
  </si>
  <si>
    <t>g.beugre@cnps.ci</t>
  </si>
  <si>
    <t>La recherche web du 15/10/2026 cite Thierry Bahi comme DSI (à confirmer) : vérifier qui est en poste.</t>
  </si>
  <si>
    <t>Innocent YAPI</t>
  </si>
  <si>
    <t>RSSI</t>
  </si>
  <si>
    <t>Sécurité SI</t>
  </si>
  <si>
    <t>08 30 57 79</t>
  </si>
  <si>
    <t>i.yapi@cnps.ci</t>
  </si>
  <si>
    <t>Numéro au format à 8 chiffres (avant 2021) : à mettre à jour</t>
  </si>
  <si>
    <t>Amadou DIOMANDOU</t>
  </si>
  <si>
    <t>Chef de Departement Infrastructure et Exploitation</t>
  </si>
  <si>
    <t>Infrastructure / réseaux</t>
  </si>
  <si>
    <t>0779 42 41 00 / 014307744</t>
  </si>
  <si>
    <t>a.diomande@cnps.ci</t>
  </si>
  <si>
    <t>Daouda COULIBALY</t>
  </si>
  <si>
    <t>Chef du Service Système Réseau et NTIC</t>
  </si>
  <si>
    <t>CEL: +225 57887371</t>
  </si>
  <si>
    <t>d.coulibaly@cnps.ci</t>
  </si>
  <si>
    <t>Nomel Lorgn Florent</t>
  </si>
  <si>
    <t>Acheteur</t>
  </si>
  <si>
    <t>07 57 45 52 82</t>
  </si>
  <si>
    <t>f.nomel@cnps.ci</t>
  </si>
  <si>
    <t>Mme YASSI Née DIALLO</t>
  </si>
  <si>
    <t>Resp Chargés des Marchés</t>
  </si>
  <si>
    <t>k.diallo@cnps.ci</t>
  </si>
  <si>
    <t>DRAME</t>
  </si>
  <si>
    <t>Resp Sce Formation</t>
  </si>
  <si>
    <t>Commercial / autre</t>
  </si>
  <si>
    <t>07 65 38 98</t>
  </si>
  <si>
    <t>y.drame@cnps.ci</t>
  </si>
  <si>
    <t>POLL Hermann SEKA SEKA</t>
  </si>
  <si>
    <t>Non renseigné</t>
  </si>
  <si>
    <t>07 59 34 55 44</t>
  </si>
  <si>
    <t>p.seka@cnps.ci</t>
  </si>
  <si>
    <t>Encaissé le 18/03/2025.</t>
  </si>
  <si>
    <t>Relance commerciale + rendez-vous avec la DSI CNPS pour obtenir la décision.</t>
  </si>
  <si>
    <t>Échéance dépassée (10/02/2026). 22,7 M = montant évoqué en réunion ; non chiffré dans le point comptable. Base 2025 : 21 578 849.</t>
  </si>
  <si>
    <t>Offre ≈ 59 M (envoyée, non validée)</t>
  </si>
  <si>
    <t>Récupérer l’offre (absente du point transmis par Désiré) et fixer une date de décision.</t>
  </si>
  <si>
    <t>Objet et date d’envoi à compléter. Rattachement à la CNPS à confirmer (transcription « CNTS / CNT »).</t>
  </si>
  <si>
    <t>Vente croisée sur la base installée ManageEngine</t>
  </si>
  <si>
    <t>Une fois le renouvellement signé : identifier les besoins IT non couverts et proposer les modules complémentaires.</t>
  </si>
  <si>
    <t>FER — Fiche compte</t>
  </si>
  <si>
    <t>Administration / infrastructures routières (Fonds d’entretien routier)</t>
  </si>
  <si>
    <t>Directrice générale : Annick Tohé Lasmel (confirmé) · Directeur financier et comptable : Moussa Diarra (à confirmer)</t>
  </si>
  <si>
    <t>Nouveau client 2026 (compta) : licences ManageEngine facturées 28 766 400 le 24/06/2026, soldées. Prochaine échéance 24/06/2027. La sécurisation des boîtes mail était le produit d’entrée ; une formation sur la solution était prévue.</t>
  </si>
  <si>
    <t>DIRIGEANTS — FER (Côte d’Ivoire) (recherche web + LinkedIn, données au 15/10/2026)</t>
  </si>
  <si>
    <t>Directrice générale</t>
  </si>
  <si>
    <t>Annick Tohé Lasmel</t>
  </si>
  <si>
    <t>Site officiel du FER (actif juillet 2026) ; dirige le FER depuis 2022 ; pas de profil LinkedIn.</t>
  </si>
  <si>
    <t>Directeur financier et comptable</t>
  </si>
  <si>
    <t>Moussa Diarra</t>
  </si>
  <si>
    <t>Information complémentaire de la recherche.</t>
  </si>
  <si>
    <t>Aucun DSI trouvé : à identifier (porte d’entrée naturelle pour ManageEngine).</t>
  </si>
  <si>
    <t>Soldé. Nouveau client 2026.</t>
  </si>
  <si>
    <t>Sécurisation des boîtes mail</t>
  </si>
  <si>
    <t>Vérifier avec la compta si ce montant est inclus dans les 28,8 M facturés ou reste à facturer.</t>
  </si>
  <si>
    <t>Ligne du pipeline d’origine (fiabilité 90 %, coût des ventes 1 065 000, commission 0) non retrouvée dans la facturation transmise.</t>
  </si>
  <si>
    <t>Formation sur la solution de sécurisation mail</t>
  </si>
  <si>
    <t>Planifier la formation et l’utiliser pour détecter d’autres besoins.</t>
  </si>
  <si>
    <t>Vente croisée après le produit d’entrée</t>
  </si>
  <si>
    <t>ManageEngine / WithSecure / Hornetsecurity</t>
  </si>
  <si>
    <t>Cartographier l’environnement IT du FER et proposer gestion des services IT, sécurité des postes ou sauvegarde.</t>
  </si>
  <si>
    <t>Sécuriser le renouvellement 2027</t>
  </si>
  <si>
    <t>Point de satisfaction client avant la relance J-90 (26/03/2027).</t>
  </si>
  <si>
    <t>NSIA — Fiche compte</t>
  </si>
  <si>
    <t>Assurance</t>
  </si>
  <si>
    <t>DG : Sonia Nadège Seka (à confirmer) · DGA : Gérard Gilles Akou (confirmé) · Directeur du réseau des particuliers : Jacques Avenie (à confirmer)</t>
  </si>
  <si>
    <t>Gabriel COMOE-EDANOU — Directeur Des Opérations et de la Technologies Groupe (base clients — coordonnées ci-dessous)</t>
  </si>
  <si>
    <t>Tyao Basile N'GUESSSAN — Ingénieur Projet ; AMANGOUA Alexandre ; Elvis Adou (base clients)</t>
  </si>
  <si>
    <t>Client récurrent depuis 2024 (compta), renouvelle chaque année en septembre. Raisons sociales facturées : NSIA Assurances (2024-2025) puis NSIA Assurances Vie (2026). Figurait comme prospect « NSIA VIE » dans l’ancien pipeline.</t>
  </si>
  <si>
    <t>DIRIGEANTS — NSIA Vie (Côte d’Ivoire) (recherche web + LinkedIn, données au 15/10/2026)</t>
  </si>
  <si>
    <t>Sonia Nadège Seka</t>
  </si>
  <si>
    <t>Profil LinkedIn limité, filiale non certifiée : à recouper.</t>
  </si>
  <si>
    <t>Gérard Gilles Akou</t>
  </si>
  <si>
    <t>LinkedIn : DGA NSIA Vie CI (n’est plus directeur commercial).</t>
  </si>
  <si>
    <t>Directeur du réseau des particuliers</t>
  </si>
  <si>
    <t>Jacques Avenie</t>
  </si>
  <si>
    <t>Équivalent le plus proche d’un directeur commercial.</t>
  </si>
  <si>
    <t>Directeur financier</t>
  </si>
  <si>
    <t>Richmond Fabrice N’Doua</t>
  </si>
  <si>
    <t>Directeur études, réassurance et actuariat</t>
  </si>
  <si>
    <t>Konan Manassé Yao</t>
  </si>
  <si>
    <t>Interlocuteur clé pour le pitch Credolab Assurance (atelier avec les équipes actuarielles).</t>
  </si>
  <si>
    <t>DG NSIA Holding Assurances (groupe)</t>
  </si>
  <si>
    <t>Mansan Dominique Diagou-Ehilé</t>
  </si>
  <si>
    <t>N’est plus DG de NSIA Vie CI.</t>
  </si>
  <si>
    <t>Ancien DSI : Edna Adou Tehia (poste précédent) ; Mohamed Coulibaly n’apparaît plus.</t>
  </si>
  <si>
    <t>CONTACTS — BASE CLIENTS CI (NSIA Banque, NSIA PARTICIPATION)</t>
  </si>
  <si>
    <t>Gabriel COMOE-EDANOU</t>
  </si>
  <si>
    <t>Directeur Des Opérations et de la Technologies Groupe</t>
  </si>
  <si>
    <t>0749595963</t>
  </si>
  <si>
    <t>gabriel.comoe-edanou@groupensia.com</t>
  </si>
  <si>
    <t>Tyao Basile N'GUESSSAN</t>
  </si>
  <si>
    <t>Ingénieur Projet</t>
  </si>
  <si>
    <t>Informatique / projets</t>
  </si>
  <si>
    <t>0505 89 35 46</t>
  </si>
  <si>
    <t>basile.nguessan@groupensia.com</t>
  </si>
  <si>
    <t>AMANGOUA Alexandre</t>
  </si>
  <si>
    <t>07 88 86 46 22</t>
  </si>
  <si>
    <t>alexandre.armangouah@groupensia.com</t>
  </si>
  <si>
    <t>Elvis Adou</t>
  </si>
  <si>
    <t>0709243281</t>
  </si>
  <si>
    <t>elvis.adou@nsiabanque.com</t>
  </si>
  <si>
    <t>Eric AHUI</t>
  </si>
  <si>
    <t>07 69 28 66 02</t>
  </si>
  <si>
    <t>eric.ahui@nsiabanque.com</t>
  </si>
  <si>
    <t>Francis gnakoury</t>
  </si>
  <si>
    <t>0787530619</t>
  </si>
  <si>
    <t>francis.gnakouri@nsiabanque.com</t>
  </si>
  <si>
    <t>Prosper Yao</t>
  </si>
  <si>
    <t>0708013119</t>
  </si>
  <si>
    <t>prosper.yao@groupensia.com</t>
  </si>
  <si>
    <t>NSIA ASSURANCES — soldé.</t>
  </si>
  <si>
    <t>Encaissé le 24/09/2025.</t>
  </si>
  <si>
    <t>NSIA ASSURANCES VIE — soldé.</t>
  </si>
  <si>
    <t>Développer le compte au-delà des licences</t>
  </si>
  <si>
    <t>ManageEngine / sécurité</t>
  </si>
  <si>
    <t>Petit compte (1,6 M) mais fidèle : identifier d’autres entités et besoins au sein du groupe NSIA.</t>
  </si>
  <si>
    <t>Orange Business — Fiche compte</t>
  </si>
  <si>
    <t>Client existant IAT | Montants en FCFA</t>
  </si>
  <si>
    <t>Télécoms / intégrateur (apporteur de deals)</t>
  </si>
  <si>
    <t>Interlocuteur clé</t>
  </si>
  <si>
    <t>Abdoul Aïdara (orthographe à confirmer) — centralise les demandes</t>
  </si>
  <si>
    <t>Autres interlocuteurs</t>
  </si>
  <si>
    <t>TOURE Sidik — Manager Sécurité Opérationnel ; YOH Landry — Responsable étude et Ingénierie ; AGOLY Franck — Senior Manager Exploitation Applications&amp;Plateformes de Services (base clients)</t>
  </si>
  <si>
    <t>GUIGREHI Franck — Direction des Achats et de la Logistique Acheteur (base clients)</t>
  </si>
  <si>
    <t>À surveiller</t>
  </si>
  <si>
    <t>Notes (réunion du 13/10/2026)</t>
  </si>
  <si>
    <t>Orange Business nous envoyait régulièrement des demandes d’offre ; plus rien depuis un moment : il faut reprendre la main. Suivre tous les deals transmis : gagnés, soumis, perdus. Inclure le projet E-Agri (revenue sharing). Aucune facturation Orange dans le point comptable du 13/10/2026.</t>
  </si>
  <si>
    <t>CONTACTS — BASE CLIENTS CI (ORANGE)</t>
  </si>
  <si>
    <t>Mame DIOP</t>
  </si>
  <si>
    <t>22507799662</t>
  </si>
  <si>
    <t>mame.diopba@orange.com</t>
  </si>
  <si>
    <t>TOURE Sidik</t>
  </si>
  <si>
    <t>Manager Sécurité Opérationnel</t>
  </si>
  <si>
    <t>0225 07747835</t>
  </si>
  <si>
    <t>sidik.toure@orange.com</t>
  </si>
  <si>
    <t>Prénom « Sidik » cité en réunion du 13/10 : vraisemblablement ce contact (à confirmer).</t>
  </si>
  <si>
    <t>YOH Landry</t>
  </si>
  <si>
    <t>Responsable étude et Ingénierie</t>
  </si>
  <si>
    <t>00225 09506343</t>
  </si>
  <si>
    <t>landry.yoh@orange.com</t>
  </si>
  <si>
    <t>Prénom « Landry » cité en réunion du 13/10 : vraisemblablement ce contact (à confirmer).</t>
  </si>
  <si>
    <t>AGOLY Franck</t>
  </si>
  <si>
    <t>Senior Manager Exploitation Applications&amp;Plateformes de Services</t>
  </si>
  <si>
    <t>00225 07012368</t>
  </si>
  <si>
    <t>franck.agoly@orange.com</t>
  </si>
  <si>
    <t>KOUASSI Jean Marc</t>
  </si>
  <si>
    <t>Chef de Département Core</t>
  </si>
  <si>
    <t>22507605444</t>
  </si>
  <si>
    <t>jean-marc.kouassi@orange.com</t>
  </si>
  <si>
    <t>LOPOI David</t>
  </si>
  <si>
    <t>Senior Manager Reseau IP</t>
  </si>
  <si>
    <t>0022507019933</t>
  </si>
  <si>
    <t>david.lopoi@orange.com</t>
  </si>
  <si>
    <t>TEKI Saint-François</t>
  </si>
  <si>
    <t>Manager Réseau Interne</t>
  </si>
  <si>
    <t>022507676606</t>
  </si>
  <si>
    <t>saint-francois.teki@orange.com</t>
  </si>
  <si>
    <t>GUIGREHI Franck</t>
  </si>
  <si>
    <t>Direction des Achats et de la Logistique Acheteur</t>
  </si>
  <si>
    <t>0225 78638328 / 0225 21214543</t>
  </si>
  <si>
    <t>franck.guigrehi@orange.com</t>
  </si>
  <si>
    <t>2. AFFAIRES GAGNÉES / EN EXPLOITATION</t>
  </si>
  <si>
    <t>Partenaires de développement</t>
  </si>
  <si>
    <t>Contrat de réalisation de la plateforme + revenue sharing avec Orange une fois en exploitation. Montant, facturation et avancement à compléter.</t>
  </si>
  <si>
    <t>3. DEALS TRANSMIS PAR ORANGE BUSINESS (en cours, soumis, perdus)</t>
  </si>
  <si>
    <t>Orange Burkina — Migration Microsoft Exchange</t>
  </si>
  <si>
    <t>Microsoft — via OC²S</t>
  </si>
  <si>
    <t>Fixer une date de décision avec Judicaël KOUTOU · identifier le décideur final.</t>
  </si>
  <si>
    <t>Offre remise depuis plus de 2 mois.</t>
  </si>
  <si>
    <t>Orange Liberia — Audit SAM</t>
  </si>
  <si>
    <t>Via OC²S</t>
  </si>
  <si>
    <t>Traiter dans la même séquence de relance que le Burkina.</t>
  </si>
  <si>
    <t>Affaire jumelle du dossier Orange Burkina.</t>
  </si>
  <si>
    <t>Réactiver le flux de demandes d’offres</t>
  </si>
  <si>
    <t>Toutes solutions</t>
  </si>
  <si>
    <t>Reprendre contact avec l’interlocuteur clé, faire le point sur les deals en cours et perdus, se repositionner.</t>
  </si>
  <si>
    <t>Historique des deals perdus</t>
  </si>
  <si>
    <t>Lister les deals soumis puis perdus (étape « Perdu ») pour comprendre les raisons et ajuster les offres.</t>
  </si>
  <si>
    <t>NEURONES — Fiche compte</t>
  </si>
  <si>
    <t>Partenaire revendeur | Montants en FCFA | Facturation et encaissements : point comptabilité au 13/10/2026</t>
  </si>
  <si>
    <t>Intégrateur / ESN (partenaire revendeur)</t>
  </si>
  <si>
    <t>PDG : Luc de Chammard (confirmé) · DG délégué : Bertrand Ducurtil (à confirmer) · Directeur marketing et communication : Matthieu Vautier (à confirmer)</t>
  </si>
  <si>
    <t>NEURONES passe par IAT pour vendre WithSecure, car IAT détient la carte partenaire. Renouvellement échu depuis le 21/08/2026 : blocage côté fournisseur (attente de cotation). Pousser aussi la carte en direct, sinon l’éditeur risque de la retirer.</t>
  </si>
  <si>
    <t>DIRIGEANTS — NEURONES (groupe, France) (recherche web + LinkedIn, données au 15/10/2026)</t>
  </si>
  <si>
    <t>PDG</t>
  </si>
  <si>
    <t>Luc de Chammard</t>
  </si>
  <si>
    <t>LinkedIn + AMF.</t>
  </si>
  <si>
    <t>DG délégué</t>
  </si>
  <si>
    <t>Bertrand Ducurtil</t>
  </si>
  <si>
    <t>Déclarations AMF ; non revérifié sur LinkedIn.</t>
  </si>
  <si>
    <t>Directeur marketing et communication</t>
  </si>
  <si>
    <t>Matthieu Vautier</t>
  </si>
  <si>
    <t>Groupe organisé en filiales ayant chacune leur DG.</t>
  </si>
  <si>
    <t>⚠ Recherche menée sur le groupe français NEURONES : vérifier que le partenaire revendeur d’Abidjan en fait bien partie (le groupe est organisé en filiales ayant chacune leur DG).</t>
  </si>
  <si>
    <t>Encaissé en 3 fois (27/08, 14/11, 02/12/2025). Coût des ventes et commission repris du pipeline d’origine.</t>
  </si>
  <si>
    <t>Relancer le fournisseur pour la cotation, puis émettre l’offre client.</t>
  </si>
  <si>
    <t>Échéance dépassée (21/08/2026). Montant non chiffré ; base 2025 : 7 383 000.</t>
  </si>
  <si>
    <t>Développer le volume WithSecure via NEURONES</t>
  </si>
  <si>
    <t>Point trimestriel avec NEURONES sur leurs affaires à venir.</t>
  </si>
  <si>
    <t>IAT — Appels d’offres</t>
  </si>
  <si>
    <t>Suivi des appels d’offres et consultations | Montants en FCFA</t>
  </si>
  <si>
    <t>Jours restants calculés automatiquement · rouge = moins de 7 jours</t>
  </si>
  <si>
    <t>APPELS D’OFFRES EN COURS ET EN VEILLE</t>
  </si>
  <si>
    <t>Organisme</t>
  </si>
  <si>
    <t>Objet</t>
  </si>
  <si>
    <t>Référence AO</t>
  </si>
  <si>
    <t>Date de publication</t>
  </si>
  <si>
    <t>Date limite de dépôt</t>
  </si>
  <si>
    <t>Montant estimé (FCFA)</t>
  </si>
  <si>
    <t>Mode de réponse</t>
  </si>
  <si>
    <t>Partenaire(s)</t>
  </si>
  <si>
    <t>Pièces / exigences</t>
  </si>
  <si>
    <t>Étape AO</t>
  </si>
  <si>
    <t>Le Médiateur de la République de Côte d’Ivoire (à valider)</t>
  </si>
  <si>
    <t>Plateforme e-Médiation</t>
  </si>
  <si>
    <t>Groupement / sous-traitance (à confirmer)</t>
  </si>
  <si>
    <t>OC²S</t>
  </si>
  <si>
    <t>Entité porteuse, montant, calendrier et pièces attendues à compléter</t>
  </si>
  <si>
    <t>Go / No-go</t>
  </si>
  <si>
    <t>Repris du pipeline (ligne « OCCS EMEDIATION » sans données). Confirmer le rôle d’OC²S et formaliser l’accord de groupement.</t>
  </si>
  <si>
    <t>CDC-CI (Caisse des Dépôts et Consignations)</t>
  </si>
  <si>
    <t>Veille</t>
  </si>
  <si>
    <t>Aucun AO ouvert identifié : surveiller les avis et manifestations d’intérêt, vérifier critères d’éligibilité.</t>
  </si>
  <si>
    <t>IAT — Solutions &amp; prospects</t>
  </si>
  <si>
    <t>Stratégie par produit : ce qu’on vend, à qui, avec quel argument, et la liste des prospects par solution</t>
  </si>
  <si>
    <t>On ne vend pas ce qu’on ne maîtrise pas : colonne « Maîtrise commerciale » à mettre à jour après chaque formation</t>
  </si>
  <si>
    <t>1. CATALOGUE ET STRATÉGIE PAR SOLUTION</t>
  </si>
  <si>
    <t>Solution</t>
  </si>
  <si>
    <t>Éditeur / partenaire</t>
  </si>
  <si>
    <t>Catégorie</t>
  </si>
  <si>
    <t>Statut du partenariat</t>
  </si>
  <si>
    <t>Référent / expert interne</t>
  </si>
  <si>
    <t>Maîtrise commerciale</t>
  </si>
  <si>
    <t>Cibles sectorielles</t>
  </si>
  <si>
    <t>Problème adressé / valeur (pitch)</t>
  </si>
  <si>
    <t>Clients existants</t>
  </si>
  <si>
    <t>Supports disponibles</t>
  </si>
  <si>
    <t>Credolab</t>
  </si>
  <si>
    <t>Credolab (« Infinity powered by Credolab »)</t>
  </si>
  <si>
    <t>Scoring comportemental / anti-fraude / KYC</t>
  </si>
  <si>
    <t>Signé (juin 2026)</t>
  </si>
  <si>
    <t>À former</t>
  </si>
  <si>
    <t>Banques commerciales, assurance, fintech &amp; télécoms, institutions gouvernementales, microfinance (SFD) — Côte d’Ivoire et Afrique de l’Ouest francophone</t>
  </si>
  <si>
    <t>Scoring comportemental zéro PII (11 M+ caractéristiques, &lt; 200 ms) · +40 % de pouvoir prédictif · −21,9 % de coût du risque · Gini 92 contre les bots · maîtrise locale IAT (conformité BCEAO / OHADA). Pitchs détaillés par segment en section 3.</t>
  </si>
  <si>
    <t>Aucun à ce jour</t>
  </si>
  <si>
    <t>Pitchs ciblés par segment (juillet 2026) · document d’approche · éléments d’Olivier à intégrer</t>
  </si>
  <si>
    <t>Lancer le pilote avec Credit Access (candidat idéal) · attaquer un prospect par semaine selon le calendrier (section 2) · revenir sur le dossier du 08/10</t>
  </si>
  <si>
    <t>Wari+</t>
  </si>
  <si>
    <t>Daniel (éditeur) — partenariat à signer</t>
  </si>
  <si>
    <t>Plateforme front-office d’investissement (marque blanche)</t>
  </si>
  <si>
    <t>En négociation</t>
  </si>
  <si>
    <t>SGI, banques (BOA, BNI…)</t>
  </si>
  <si>
    <t>Produit prêt et déjà utilisé par des SGI ; IAT fournit la technologie, adossée à un acteur agréé.</t>
  </si>
  <si>
    <t>Démo interactive (sandbox) sur écrans tactiles 27" au Salon de l’Épargne</t>
  </si>
  <si>
    <t>Signer un partenariat de commercialisation (revenue sharing, prix plancher 45 M) avant le salon du 22/10</t>
  </si>
  <si>
    <t>Gestion des services IT, endpoint, sécurité</t>
  </si>
  <si>
    <t>Partenaire signé</t>
  </si>
  <si>
    <t>Salim, Kade (formés)</t>
  </si>
  <si>
    <t>Administrations, organismes sociaux, grandes entreprises</t>
  </si>
  <si>
    <t>Pilotage et sécurisation du parc IT, support, gestion des licences.</t>
  </si>
  <si>
    <t>CNAM, CNPS, FER</t>
  </si>
  <si>
    <t>Brochures ManageEngine</t>
  </si>
  <si>
    <t>Présentation complète de l’offre au commercial par Salim / Kade · cartographier les ventes croisées</t>
  </si>
  <si>
    <t>Sécurité des postes (endpoint)</t>
  </si>
  <si>
    <t>Partenaire (carte détenue par IAT)</t>
  </si>
  <si>
    <t>Entreprises, intégrateurs</t>
  </si>
  <si>
    <t>Protection des postes de travail.</t>
  </si>
  <si>
    <t>NEURONES (revendeur)</t>
  </si>
  <si>
    <t>Brochure IAT</t>
  </si>
  <si>
    <t>Pousser la carte en direct pour ne pas risquer de la perdre</t>
  </si>
  <si>
    <t>Hornetsecurity</t>
  </si>
  <si>
    <t>Sécurité messagerie / sauvegarde M365</t>
  </si>
  <si>
    <t>Partenaire</t>
  </si>
  <si>
    <t>Entreprises sous Microsoft 365</t>
  </si>
  <si>
    <t>Sécurisation et sauvegarde de la messagerie.</t>
  </si>
  <si>
    <t>Identifier les personnes clés chez l’éditeur (call avec Maoula)</t>
  </si>
  <si>
    <t>Fortinet</t>
  </si>
  <si>
    <t>Sécurité réseau</t>
  </si>
  <si>
    <t>Vérifier qui représente Fortinet et qui fait les configurations</t>
  </si>
  <si>
    <t>Acronis</t>
  </si>
  <si>
    <t>Sauvegarde</t>
  </si>
  <si>
    <t>Via prestataires externes</t>
  </si>
  <si>
    <t>Confirmer le modèle de délivrance</t>
  </si>
  <si>
    <t>Infrastructure</t>
  </si>
  <si>
    <t>Partenaire enregistré</t>
  </si>
  <si>
    <t>Faire connaître le partenariat (site web, brochure)</t>
  </si>
  <si>
    <t>Microsoft 365 / Exchange</t>
  </si>
  <si>
    <t>Messagerie et collaboration</t>
  </si>
  <si>
    <t>Via partenaire</t>
  </si>
  <si>
    <t>Telcos, grandes entreprises</t>
  </si>
  <si>
    <t>Orange Burkina (en cours)</t>
  </si>
  <si>
    <t>Odoo</t>
  </si>
  <si>
    <t>Odoo Community</t>
  </si>
  <si>
    <t>ERP / CRM</t>
  </si>
  <si>
    <t>PME, groupes multi-filiales</t>
  </si>
  <si>
    <t>Éditeur partenaire (nom à préciser)</t>
  </si>
  <si>
    <t>Télématique (boîtier + 4G + plateforme)</t>
  </si>
  <si>
    <t>En évaluation</t>
  </si>
  <si>
    <t>Administrations et entreprises à grand parc automobile</t>
  </si>
  <si>
    <t>Suivi des véhicules, alertes d’échéances (visite technique, etc.).</t>
  </si>
  <si>
    <t>Tests sur les véhicules de l’entreprise avant toute offre</t>
  </si>
  <si>
    <t>Développement sur mesure / digitalisation</t>
  </si>
  <si>
    <t>IAT</t>
  </si>
  <si>
    <t>Maîtrisé</t>
  </si>
  <si>
    <t>Distribution, groupes</t>
  </si>
  <si>
    <t>Supprimer la saisie manuelle et fiabiliser les processus.</t>
  </si>
  <si>
    <t>Projet digitalisation (client à préciser)</t>
  </si>
  <si>
    <t>Transformer le développement en produit réutilisable</t>
  </si>
  <si>
    <t>2. PROSPECTS PAR SOLUTION (objectif : au moins un prospect attaqué par semaine — calendrier Credolab proposé, à valider)</t>
  </si>
  <si>
    <t>Contact / fonction</t>
  </si>
  <si>
    <t>Angle d’attaque / besoin</t>
  </si>
  <si>
    <t>Semaine d’attaque</t>
  </si>
  <si>
    <t>Relation IAG (/5)</t>
  </si>
  <si>
    <t>Dernière action (date)</t>
  </si>
  <si>
    <t>Credit Access</t>
  </si>
  <si>
    <t>Microfinance (SFD)</t>
  </si>
  <si>
    <t>La fraude des agents est le premier facteur de perte : passer du scoring manuel au scoring automatisé (−43 % de fraude dans des cas similaires).</t>
  </si>
  <si>
    <t>Proposer un pilote (preuve de concept) avant extension aux autres SFD.</t>
  </si>
  <si>
    <t>8,5 % des crédits du marché, très forte croissance digitale — candidat idéal pour le pilote.</t>
  </si>
  <si>
    <t>BNI</t>
  </si>
  <si>
    <t>Banque</t>
  </si>
  <si>
    <t>Noufe — DSI · 07 07620719 · anoufe@bni.ci (+6 autres dans l’onglet Contacts)</t>
  </si>
  <si>
    <t>Thin-files (bancarisation de 24,3 %) et fraude à l’identité (81 % du secteur) : +40 % de pouvoir prédictif sans changer le process de décision, −21,9 % de coût du risque.</t>
  </si>
  <si>
    <t>Proposer un pilote sandbox de 4 à 6 semaines sur un segment de portefeuille (crédit PME ou retail).</t>
  </si>
  <si>
    <t>Banque Nationale d’Investissement — actifs &gt; 700 Mds FCFA, partenaire clé de l’État. À approcher aussi au Salon de l’Épargne (22-23/10).</t>
  </si>
  <si>
    <t>Orange CI / Orange Bank</t>
  </si>
  <si>
    <t>Fintech / Télécom</t>
  </si>
  <si>
    <t>Fraude en temps réel (&lt; 200 ms), Gini 92 contre les bots et fermes d’appareils, intégration SDK/API rapide, modèle de revenus au volume.</t>
  </si>
  <si>
    <t>Test sandbox SDK/API sur un flux à risque (onboarding, crédit instantané ou paiement).</t>
  </si>
  <si>
    <t>Opérateur dominant, partenariat existant très fort avec IAG (voir onglet Orange Business).</t>
  </si>
  <si>
    <t>NSIA PARTICIPATION : Gabriel COMOE-EDANOU — Directeur Des Opérations et de la Technologies Groupe · 0749595963 · gabriel.comoe-edanou@groupensia.com (+2 autres dans l’onglet Contacts)
NSIA Banque : AMANGOUA Alexandre · 07 88 86 46 22 · alexandre.armangouah@groupensia.com (+3 autres dans l’onglet Contacts)</t>
  </si>
  <si>
    <t>Tarifer les assurés sans historique et détecter la fraude à la souscription ou au sinistre.</t>
  </si>
  <si>
    <t>Atelier de cadrage avec les équipes actuarielles et anti-fraude : 1 à 2 cas d’usage pilotes.</t>
  </si>
  <si>
    <t>Client existant IAT (licences ManageEngine) : vente croisée. Profil et relation à qualifier selon le pitch.</t>
  </si>
  <si>
    <t>AEJ (Agence Emploi Jeunes)</t>
  </si>
  <si>
    <t>Institution publique</t>
  </si>
  <si>
    <t>Scoring alternatif de bénéficiaires non bancarisés et détection de la fraude documentaire / d’identité sur de gros volumes ; décisions auditables (BCEAO, OHADA).</t>
  </si>
  <si>
    <t>Présenter un cas d’usage chiffré sur un programme en cours et proposer un pilote sur une cohorte.</t>
  </si>
  <si>
    <t>800 000 bénéficiaires ciblés, budget 606 M USD, micro-crédits entreprises.</t>
  </si>
  <si>
    <t>Ecobank CI</t>
  </si>
  <si>
    <t>Désiré OULAI — DSI · + 225 07 09 21 95 · doulai@ecobank.com (+4 autres dans l’onglet Contacts)</t>
  </si>
  <si>
    <t>Actifs &gt; 1 200 Mds FCFA, leader panafricain.</t>
  </si>
  <si>
    <t>Wave</t>
  </si>
  <si>
    <t>Disrupteur du mobile money, expansion rapide vers le crédit.</t>
  </si>
  <si>
    <t>Djamo</t>
  </si>
  <si>
    <t>Néo-banque leader, première fintech avec agrément microfinance BCEAO (2025).</t>
  </si>
  <si>
    <t>Cofina CI</t>
  </si>
  <si>
    <t>Emany kitsoukou — DSI · +225 47639495 · emanny.kitsoukou@cofinacorp.com (+6 autres dans l’onglet Contacts)</t>
  </si>
  <si>
    <t>Leader de la méso-finance (~10 % des crédits), actifs &gt; 87 Mds FCFA. Écrit « Confina CI » dans le pitch.</t>
  </si>
  <si>
    <t>Bridge Bank Group CI</t>
  </si>
  <si>
    <t>Mme KOUASSI — Acheteur · 01 40 14 87 03 (+3 autres dans l’onglet Contacts)</t>
  </si>
  <si>
    <t>Actifs &gt; 350 Mds FCFA, focus PME et innovation.</t>
  </si>
  <si>
    <t>Fin’Elle</t>
  </si>
  <si>
    <t>Lolomba KONE — Head of IT · 225 07 87 90 57 84 · lolamba.kone@cofinacorp.com (+1 autre dans l’onglet Contacts)</t>
  </si>
  <si>
    <t>Niche de l’inclusion financière des femmes (alignement avec le FAFCI).</t>
  </si>
  <si>
    <t>BICICI / Afrika Bank CI</t>
  </si>
  <si>
    <t>Fortes présences corporate et retail.</t>
  </si>
  <si>
    <t>FAFCI</t>
  </si>
  <si>
    <t>Plus de 420 000 femmes financées, 98 % de remboursement, distribution via SFD.</t>
  </si>
  <si>
    <t>Programme DICEFA</t>
  </si>
  <si>
    <t>Lancé en septembre 2025 : 28,5 Mds FCFA sur 5 ans. Cas d’usage chiffré à préparer.</t>
  </si>
  <si>
    <t>FIDEN</t>
  </si>
  <si>
    <t>Fonds d’État pour le financement des PME.</t>
  </si>
  <si>
    <t>Moov Africa / CinetPay</t>
  </si>
  <si>
    <t>AGNIN Yao Jules — Chef de Division Ingénierie · 00225 01000914 · yaojules.agnin@moov.com (+2 autres dans l’onglet Contacts)</t>
  </si>
  <si>
    <t>Acteurs majeurs des paiements à sécuriser après incidents (cyberattaque CinetPay de 1,2 M€ en 2025).</t>
  </si>
  <si>
    <t>UNACOOPEC-CI / Baobab / Advans</t>
  </si>
  <si>
    <t>BAOBAB : Wilson KOUAKOU — RI · 0554876179 · tkouakou@baobabgroup.com (+2 autres dans l’onglet Contacts)
ADVANS : Héloïse TROUILLEZ — Chargée de projets digitaux · 05 45.55.52.47 · htrouillez@advanscotedivoire.com (+4 autres dans l’onglet Contacts)</t>
  </si>
  <si>
    <t>Leaders en volume de clients et d’agences.</t>
  </si>
  <si>
    <t>AXA</t>
  </si>
  <si>
    <t>AMANI BORRO — Resp Informatique · +225 07016476 · amani.borro@axa.ci (+1 autre dans l’onglet Contacts)</t>
  </si>
  <si>
    <t>Profil et niveau de relation à qualifier.</t>
  </si>
  <si>
    <t>SUNU</t>
  </si>
  <si>
    <t>Felix Adou · 05381644 · felix.adou@sunu-group.com (+2 autres dans l’onglet Contacts)</t>
  </si>
  <si>
    <t>GT BANK</t>
  </si>
  <si>
    <t>Innocent AKA — IT · 0759495233 · innocent.aka@gtbank.com (+1 autre dans l’onglet Contacts)</t>
  </si>
  <si>
    <t>Cible complémentaire issue de la base clients CI (non citée dans le pitch) — 2 contact(s). À prioriser.</t>
  </si>
  <si>
    <t>SGCI</t>
  </si>
  <si>
    <t>DIAKITE-TOURE · 0585000265 · mariethou.diakite-toure@socgen.com (+5 autres dans l’onglet Contacts)</t>
  </si>
  <si>
    <t>Cible complémentaire issue de la base clients CI (non citée dans le pitch) — 6 contact(s). À prioriser.</t>
  </si>
  <si>
    <t>SIB</t>
  </si>
  <si>
    <t>Catherine DADY · 07 57 080684 · catherine.dadi@sib.ci (+6 autres dans l’onglet Contacts)</t>
  </si>
  <si>
    <t>Cible complémentaire issue de la base clients CI (non citée dans le pitch) — 7 contact(s). À prioriser.</t>
  </si>
  <si>
    <t>CORIS BANK</t>
  </si>
  <si>
    <t>Omar Somtore — DSI · 0546636671 · osomtore@coris-bank.com (+3 autres dans l’onglet Contacts)</t>
  </si>
  <si>
    <t>Cible complémentaire issue de la base clients CI (non citée dans le pitch) — 4 contact(s). À prioriser.</t>
  </si>
  <si>
    <t>BSIC</t>
  </si>
  <si>
    <t>Dara Paul · 67 76 61 86 · paul.dara@bsic.ci (+3 autres dans l’onglet Contacts)</t>
  </si>
  <si>
    <t>VERSUS BANK</t>
  </si>
  <si>
    <t>EDDY ESSO — DSI · 0708088791 / 0151716092 · edi.esso@versusbank.com (+4 autres dans l’onglet Contacts)</t>
  </si>
  <si>
    <t>Cible complémentaire issue de la base clients CI (non citée dans le pitch) — 5 contact(s). À prioriser.</t>
  </si>
  <si>
    <t>ORABANK CI</t>
  </si>
  <si>
    <t>SANOGO OUSMANE · 05 75 75 98 75 · ousmane.sanogo@orabank.net (+1 autre dans l’onglet Contacts)</t>
  </si>
  <si>
    <t>MANSA BANK</t>
  </si>
  <si>
    <t>Fabrice Hauhouot · 47930350 · fabrice.hauhouot@mansabank.com (+2 autres dans l’onglet Contacts)</t>
  </si>
  <si>
    <t>Cible complémentaire issue de la base clients CI (non citée dans le pitch) — 3 contact(s). À prioriser.</t>
  </si>
  <si>
    <t>BGFI BANK CI</t>
  </si>
  <si>
    <t>Moussa TOURE · 07 58 51 30 12 · m.toure@bgfigroupe.com (+1 autre dans l’onglet Contacts)</t>
  </si>
  <si>
    <t>ABI &amp; banque Atlantique</t>
  </si>
  <si>
    <t>Miloud — DSSI ABI · +225 03 70 70 71 · miloud.chennaoui@banqueatlantique.net (+6 autres dans l’onglet Contacts)</t>
  </si>
  <si>
    <t>BANQUE POPULAIRE</t>
  </si>
  <si>
    <t>Dominique Mensah — DSI · 0709220000 · dmensah@banquepopulaire.ci (+3 autres dans l’onglet Contacts)</t>
  </si>
  <si>
    <t>BHCI</t>
  </si>
  <si>
    <t>Diby Constant — RSSI · 2250102000081 · cydiby@bhci.ci (+5 autres dans l’onglet Contacts)</t>
  </si>
  <si>
    <t>UBA</t>
  </si>
  <si>
    <t>Jean Pierre Assi · 09136702 · jean-pierre.assi@ubagroup.com</t>
  </si>
  <si>
    <t>Cible complémentaire issue de la base clients CI (non citée dans le pitch) — 1 contact(s). À prioriser.</t>
  </si>
  <si>
    <t>AFRILAND FIRST BANK</t>
  </si>
  <si>
    <t>Fulbert ATTOUMO · 87-310-833/ 06139798 · fulbert.attoumo@afrilandfirstbankgroup.com</t>
  </si>
  <si>
    <t>BNP Paribas</t>
  </si>
  <si>
    <t>Venance KONAN — DSI · 07 35 42 55 · venance.konan@bnpparibas.com (+2 autres dans l’onglet Contacts)</t>
  </si>
  <si>
    <t>ALIOS FINANCE</t>
  </si>
  <si>
    <t>Souleymane Soumahoro — RI · (225) 27 21 21 07 00 (Fax) / (225) 27 21 21 07 80 (LD) / (225) 05 05 85 16 33 (cel) · souleymane.soumahoro@alios-finance.com</t>
  </si>
  <si>
    <t>SANLAM</t>
  </si>
  <si>
    <t>Simon TIBE — DSI IARD · 0797565324 · simon.tibe@ci.sanlam.com (+7 autres dans l’onglet Contacts)</t>
  </si>
  <si>
    <t>Cible complémentaire issue de la base clients CI (non citée dans le pitch) — 8 contact(s). À prioriser.</t>
  </si>
  <si>
    <t>AFRICAINES DES ASSURANCES</t>
  </si>
  <si>
    <t>VIRGILE ASSOGBA — Directeur Administratif et Financier · 07 07 18 50 50 · vassogba@africaine-ci.com (+2 autres dans l’onglet Contacts)</t>
  </si>
  <si>
    <t>COMAR ASSURANCES</t>
  </si>
  <si>
    <t>Mustapha AZAIEZ — DG · Téléphone : +225 20 20 24 55 · mustapha.azaiez@comar.ci</t>
  </si>
  <si>
    <t>GNA ASSURANCE</t>
  </si>
  <si>
    <t>siriki tiene · 0708110116 · siriki.tiene@gna-ci.com</t>
  </si>
  <si>
    <t>MUGEFCI</t>
  </si>
  <si>
    <t>Serge ASSANDE — DSI INFORMATIQUE · 0707207575 · serge.assande@mugef-ci.com (+2 autres dans l’onglet Contacts)</t>
  </si>
  <si>
    <t>FIDRA</t>
  </si>
  <si>
    <t>Françis YAO — DSI · 0709666018 · FYAO@fidra.ci (+2 autres dans l’onglet Contacts)</t>
  </si>
  <si>
    <t>AMIFA</t>
  </si>
  <si>
    <t>Mohamed ELEMAYE — IT MANAGER · 01 72 50 05 69 · m.elemaye@amifa-ci.net (+1 autre dans l’onglet Contacts)</t>
  </si>
  <si>
    <t>ECROCRED</t>
  </si>
  <si>
    <t>Jean Claude ZOGBE — Resp Systèmes D'Informations · 0789629904 · jean-claude.zogbe@wittifinances.com</t>
  </si>
  <si>
    <t>BOA (SGI)</t>
  </si>
  <si>
    <t>Banque / SGI</t>
  </si>
  <si>
    <t>johnson YAPI — DSI GROUPE · 221 07 77 482 0450 · jyapi@boaholding.com (+7 autres dans l’onglet Contacts)</t>
  </si>
  <si>
    <t>BNI (SGI)</t>
  </si>
  <si>
    <t>Phoenix Capital (SGI)</t>
  </si>
  <si>
    <t>SGI</t>
  </si>
  <si>
    <t>Lydie Nguessan · 0707967513 · lnguessan@phoenixafricaholding.com</t>
  </si>
  <si>
    <t>Bridge Securities (SGI)</t>
  </si>
  <si>
    <t>BRVM (connexion au marché)</t>
  </si>
  <si>
    <t>Bourse régionale</t>
  </si>
  <si>
    <t>alain coulibaly · 0709535324 · acoulibaly@brvm.org (+2 autres dans l’onglet Contacts)</t>
  </si>
  <si>
    <t>CNPS (vente croisée)</t>
  </si>
  <si>
    <t>Gballet BEUGRE — Directeur du Système d'Information (DSI) · Cel:(225)08305255 · g.beugre@cnps.ci (+7 autres dans l’onglet Contacts)</t>
  </si>
  <si>
    <t>FER (vente croisée)</t>
  </si>
  <si>
    <t>Administration</t>
  </si>
  <si>
    <t>3. PITCHS CREDOLAB PAR SEGMENT — « Infinity powered by Credolab » (source : pitchs ciblés, juillet 2026)</t>
  </si>
  <si>
    <t>Segment</t>
  </si>
  <si>
    <t>Promesse</t>
  </si>
  <si>
    <t>Enjeu pour la cible</t>
  </si>
  <si>
    <t>Ce que nous apportons</t>
  </si>
  <si>
    <t>Accroche d’ouverture</t>
  </si>
  <si>
    <t>Appel à l’action</t>
  </si>
  <si>
    <t>Cibles prioritaires</t>
  </si>
  <si>
    <t>Socle commun (tous segments)</t>
  </si>
  <si>
    <t>Trois piliers</t>
  </si>
  <si>
    <t>Quel que soit le segment, le pitch repose sur une technologie mondiale, une maîtrise locale et des résultats chiffrés.</t>
  </si>
  <si>
    <t>1) Scoring comportemental mondial : zéro PII, plus de 11 millions de caractéristiques analysées, réponse en moins de 200 ms.
2) Maîtrise locale totale du marché ivoirien et ouest-africain par IAT (réglementaire, technique, commercial).
3) Résultats démontrés : +40 % de pouvoir prédictif, −21,9 % de coût du risque, Gini de 92 sur les attaques de bots et fermes d’appareils.</t>
  </si>
  <si>
    <t>Parler valeur et résultats, pas nom de l’éditeur.</t>
  </si>
  <si>
    <t>Adapter le socle à l’enjeu du segment (lignes ci-dessous).</t>
  </si>
  <si>
    <t>Banques commerciales</t>
  </si>
  <si>
    <t>« Transformez vos thin-files en clients notés, sans changer votre process de décision. »</t>
  </si>
  <si>
    <t>Bancarisation de 24,3 % en Côte d’Ivoire : un marché massif de candidats sans historique de crédit. Fraude à l’identité : 81 % du secteur (GIM-UEMOA, 2024).</t>
  </si>
  <si>
    <t>+40 % de pouvoir prédictif sans remplacer l’existant · −21,9 % de coût du risque · Gini 92 contre les bots · intégration SDK/API (Core Banking, mobile) en quelques semaines · conformité BCEAO, OHADA et protection des données gérée par IAT.</t>
  </si>
  <si>
    <t>« Sur un marché où seulement 1 Ivoirien sur 4 a un historique de crédit exploitable, chaque candidat rejeté à tort est un client perdu — et chaque fraude non détectée est une perte évitable. Notre technologie transforme les données comportementales de vos clients en score de risque actionnable, en moins de 200 millisecondes, sans jamais toucher à leurs données personnelles. »</t>
  </si>
  <si>
    <t>Pilote sandbox de 4 à 6 semaines sur un segment de portefeuille ciblé (crédit PME ou retail), avec mesure d’impact avant déploiement.</t>
  </si>
  <si>
    <t>BNI (5/5) · Ecobank CI (4/5) · Bridge Bank Group CI (4/5) · BICICI / Afrika Bank CI (4/5)</t>
  </si>
  <si>
    <t>« Évaluez le risque de vos assurés sans historique, et détectez la fraude avant le sinistre. »</t>
  </si>
  <si>
    <t>Une large part de la population cible n’a pas d’historique documentaire structuré ; cas d’usage en tarification du risque et en détection de fraude (souscription, sinistre).</t>
  </si>
  <si>
    <t>Scoring comportemental complémentaire aux données actuarielles · détection de fraude à la souscription (technologie anti-bot, Gini 92) · tableaux de bord et workflows de décision sur mesure · conformité gérée par IAT.</t>
  </si>
  <si>
    <t>« Vous tarifez aujourd’hui un risque avec des données parcellaires. Nous vous apportons une couche d’intelligence comportementale supplémentaire — la même que celle qui réduit de 21,9 % le coût du risque dans le secteur bancaire — pour mieux évaluer vos assurés et détecter la fraude avant qu’elle ne coûte cher. »</t>
  </si>
  <si>
    <t>Atelier de cadrage avec les équipes actuarielles et anti-fraude pour identifier 1 à 2 cas d’usage pilotes (tarification ou anti-fraude sinistre).</t>
  </si>
  <si>
    <t>AXA · SUNU · NSIA (profils et relations à qualifier)</t>
  </si>
  <si>
    <t>Fintech &amp; Télécoms</t>
  </si>
  <si>
    <t>« Protégez un écosystème digital de 1,1 milliard de comptes mobiles, un compte à la fois. »</t>
  </si>
  <si>
    <t>1,1 milliard de comptes mobiles en Afrique subsaharienne, un écosystème exposé (cyberattaque de 1,2 M€ chez CinetPay en septembre 2025).</t>
  </si>
  <si>
    <t>Détection de fraude en temps réel (&lt; 200 ms) · Gini 92 contre les bots et fermes d’appareils · intégration SDK/API rapide · modèle de revenus au volume, frais généraux minimes.</t>
  </si>
  <si>
    <t>« CinetPay a perdu 1,2 million d’euros dans une cyberattaque en 2025. Votre volume de transactions est votre force et votre vulnérabilité. Notre moteur détecte les attaques de bots et les fermes d’appareils avec un score de Gini de 92, en temps réel, sans ajouter de friction à l’expérience utilisateur. »</t>
  </si>
  <si>
    <t>Test sandbox SDK/API ciblé sur un flux à risque (onboarding, crédit instantané ou paiement), avec mesure du taux de détection sur incidents réels.</t>
  </si>
  <si>
    <t>Orange CI / Orange Bank (5/5) · Wave (4/5) · Djamo (4/5) · Moov Africa / CinetPay (3/5)</t>
  </si>
  <si>
    <t>Institutions gouvernementales</t>
  </si>
  <si>
    <t>« Financez à grande échelle, avec un contrôle de fraude à la hauteur du volume. »</t>
  </si>
  <si>
    <t>Volumes massifs de micro-crédits pour des populations non bancarisées, fort risque de fraude documentaire et d’identité (AEJ : 800 000 bénéficiaires, 606 M USD ; FAFCI : 420 000 femmes ; DICEFA : 28,5 Mds FCFA sur 5 ans).</t>
  </si>
  <si>
    <t>Scoring alternatif sans historique bancaire · détection de fraude documentaire et d’identité à grande échelle · conformité BCEAO / OHADA et auditabilité · formation et conduite du changement en français.</t>
  </si>
  <si>
    <t>« Vous devez décaisser des centaines de milliers de micro-crédits à des bénéficiaires sans dossier bancaire, tout en protégeant les fonds publics contre la fraude documentaire. Notre technologie évalue le risque et détecte la fraude d’identité au moment de l’instruction du dossier, à l’échelle de vos volumes. »</t>
  </si>
  <si>
    <t>Présenter un cas d’usage chiffré adapté à un programme en cours (ex. DICEFA) et proposer une phase pilote sur une cohorte de bénéficiaires.</t>
  </si>
  <si>
    <t>AEJ (4/5) · FAFCI (3/5) · Programme DICEFA (3/5) · FIDEN (3/5)</t>
  </si>
  <si>
    <t>« La fraude des agents est votre premier facteur de perte. Passez du scoring manuel au scoring automatisé. »</t>
  </si>
  <si>
    <t>2,5 millions de clients répartis sur 45 SFD ; la fraude des agents et employés est le premier facteur de perte, avec un scoring encore majoritairement manuel.</t>
  </si>
  <si>
    <t>−43 % de fraude dans des cas similaires · scoring automatisé et comportemental, moins dépendant du jugement des agents · −21,9 % de coût du risque · formation francophone des analystes crédit et risk managers.</t>
  </si>
  <si>
    <t>« Votre premier facteur de perte n’est pas l’emprunteur, c’est l’agent. Un scoring comportemental automatisé réduit de 43 % la fraude observée dans des cas similaires au vôtre, sans ralentir votre cycle d’octroi de crédit. »</t>
  </si>
  <si>
    <t>Lancer le pilote avec Credit Access (relation 5/5, candidat idéal) comme preuve de concept avant extension aux autres SFD.</t>
  </si>
  <si>
    <t>Credit Access (5/5) · Confina CI (4/5) · Fin’Elle (4/5) · UNACOOPEC-CI / Baobab / Advans (3/5)</t>
  </si>
  <si>
    <t>IAT — Plan d’actions</t>
  </si>
  <si>
    <t>Check-list des actions décidées en réunion du 13/10/2026 · gaps à traiter en priorité</t>
  </si>
  <si>
    <t>Échéance dépassée et action non faite = rouge · Responsables et dates proposés, à valider</t>
  </si>
  <si>
    <t>ACTIONS</t>
  </si>
  <si>
    <t>Action</t>
  </si>
  <si>
    <t>Lié à</t>
  </si>
  <si>
    <t>Statut</t>
  </si>
  <si>
    <t>Compléter chaque fiche client : interlocuteurs, état de santé, satisfaction, coûts des ventes et commissions manquants</t>
  </si>
  <si>
    <t>CNAM, CNPS, FER, NSIA, Orange Business, NEURONES</t>
  </si>
  <si>
    <t>À faire</t>
  </si>
  <si>
    <t>La facturation et les encaissements 2024-2026 sont intégrés (point comptable du 13/10/2026)</t>
  </si>
  <si>
    <t>CNPS : renouvellement échu depuis le 10/02/2026 — relance commerciale + rendez-vous avec la DSI pour obtenir la décision</t>
  </si>
  <si>
    <t>Source : comptabilité</t>
  </si>
  <si>
    <t>CNPS : rapprocher le montant du renouvellement (22,7 M évoqué en réunion, non chiffré dans le point comptable)</t>
  </si>
  <si>
    <t>NEURONES : relancer le fournisseur pour la cotation WithSecure, puis émettre l’offre de renouvellement</t>
  </si>
  <si>
    <t>Échu depuis le 21/08/2026 · source : comptabilité</t>
  </si>
  <si>
    <t>FER : vérifier avec la compta si la sécurisation mail (4,5 M) est incluse dans les 28,8 M facturés ou reste à facturer</t>
  </si>
  <si>
    <t>CNAM : relancer la direction financière pour le solde de 4,5 M du contrat de maintenance (facture jointe)</t>
  </si>
  <si>
    <t>CNAM : renseigner la date de facturation et l’échéance du contrat de maintenance</t>
  </si>
  <si>
    <t>CNAM / Renouvellements</t>
  </si>
  <si>
    <t>Date « N/A » dans le point comptable</t>
  </si>
  <si>
    <t>CNAM : préparer l’offre de renouvellement des licences 2027 avant la relance J-90</t>
  </si>
  <si>
    <t>Échéance du contrat : 27/02/2027</t>
  </si>
  <si>
    <t>FER : point de satisfaction client avant la relance J-90 du renouvellement</t>
  </si>
  <si>
    <t>Échéance du contrat : 24/06/2027</t>
  </si>
  <si>
    <t>Récupérer toutes les offres et cotations déjà envoyées et les intégrer au pipeline (ex. offre CNPS ≈ 59 M)</t>
  </si>
  <si>
    <t>Pipeline global</t>
  </si>
  <si>
    <t>Avec Désiré et Maoula</t>
  </si>
  <si>
    <t>Reprendre la main sur Orange Business : relancer l’interlocuteur clé et lister les deals gagnés / soumis / perdus</t>
  </si>
  <si>
    <t>Call (tripartite si besoin) avec Maoula : partenaires technologiques, personnes clés, qui pousse quoi</t>
  </si>
  <si>
    <t>Solutions &amp; prospects</t>
  </si>
  <si>
    <t>Se faire présenter toute l’offre ManageEngine par Salim et Kade (brochures à l’appui)</t>
  </si>
  <si>
    <t>Credolab : proposer le pilote à Credit Access (SFD, relation 5/5, candidat idéal identifié dans le pitch)</t>
  </si>
  <si>
    <t>Semaine du 19/10 dans le calendrier d’attaque</t>
  </si>
  <si>
    <t>Credolab : attaquer au moins un prospect par semaine selon le calendrier proposé (19 cibles issues des pitchs par segment)</t>
  </si>
  <si>
    <t>Signé en juin, aucune action depuis : sujet évoqué par le partenaire. Calendrier à valider</t>
  </si>
  <si>
    <t>Credolab : compléter les contacts métier (risque, crédit, digital) des cibles — la base clients fournit surtout des contacts IT ; trouver les contacts manquants (Credit Access, Wave, Djamo, BICICI, AEJ, FAFCI, DICEFA, FIDEN)</t>
  </si>
  <si>
    <t>Contacts IT de la base clients CI déjà rattachés (19/10/2026)</t>
  </si>
  <si>
    <t>Credolab : qualifier les cibles complémentaires issues de la base clients (banques, assureurs, SFD non cités dans le pitch)</t>
  </si>
  <si>
    <t>Mettre à jour les numéros au format à 8 chiffres (antérieur à 2021) dans l’onglet Contacts, en commençant par les contacts rattachés au pipeline</t>
  </si>
  <si>
    <t>Contacts</t>
  </si>
  <si>
    <t>Orange : confirmer que « Sidik » et « Landry » cités en réunion sont Sidik TOURE et Landry YOH (Orange CI)</t>
  </si>
  <si>
    <t>Confirmer si le client du projet de digitalisation est le groupe PROSUMA (« Aboukassar » ≈ Abou Kassam, codirigeant)</t>
  </si>
  <si>
    <t>Pipeline global / PROSUMA</t>
  </si>
  <si>
    <t>Recoupement réunion du 13/10 × recherche dirigeants du 15/10</t>
  </si>
  <si>
    <t>CNPS : trancher qui est le DSI actuel (Gballet BEUGRE selon la base clients, Thierry Bahi selon la recherche web)</t>
  </si>
  <si>
    <t>À faire avant la relance du renouvellement (RDV DSI)</t>
  </si>
  <si>
    <t>Identifier les DSI de la CNAM, du FER et de NSIA Vie (non trouvés par la recherche)</t>
  </si>
  <si>
    <t>CNAM, FER, NSIA</t>
  </si>
  <si>
    <t>NSIA : recouper le nom de la DG de NSIA Vie CI (Sonia Nadège Seka, à confirmer) et préparer l’approche Credolab avec Konan Manassé Yao (actuariat)</t>
  </si>
  <si>
    <t>NSIA / Credolab</t>
  </si>
  <si>
    <t>NEURONES : vérifier que le revendeur d’Abidjan appartient au groupe français NEURONES (recherche menée sur le groupe)</t>
  </si>
  <si>
    <t>Revenir sur le dossier Credolab reçu le 08/10 et intégrer les éléments d’Olivier dans les pitchs</t>
  </si>
  <si>
    <t>Délai de 24-48 h déjà dépassé</t>
  </si>
  <si>
    <t>Rédiger les pitchs sectoriels (banques : KYC, onboarding, cybersécurité, scoring, audit de conformité ; telcos)</t>
  </si>
  <si>
    <t>Définir une stratégie par produit et des offres sectorielles</t>
  </si>
  <si>
    <t>Revoir la brochure (trop généraliste) et produire des one-pagers concrets pour le salon</t>
  </si>
  <si>
    <t>Salon de l’Épargne</t>
  </si>
  <si>
    <t>Pour Credolab : s’appuyer sur les pitchs Banques et Microfinance (onglet Solutions &amp; prospects)</t>
  </si>
  <si>
    <t>Salon de l’Épargne (22-23/10) : démo interactive Wari+ sur écrans tactiles 27"</t>
  </si>
  <si>
    <t>Signer le partenariat de commercialisation Wari+ (revenue sharing, prix plancher 45 M)</t>
  </si>
  <si>
    <t>Finaliser le cahier des charges de la digitalisation du pôle opérationnel</t>
  </si>
  <si>
    <t>Valider ensemble la cotation Prisme / portail et l’émettre sur papier à en-tête Infinity</t>
  </si>
  <si>
    <t>Gestion de flotte : obtenir des tests sur les véhicules de l’entreprise</t>
  </si>
  <si>
    <t>Prendre en charge le nouveau directeur sur le compte suivi en haut par Maoula</t>
  </si>
  <si>
    <t>CNAM (à confirmer)</t>
  </si>
  <si>
    <t>KAYDAN : qualifier l’affaire ou la sortir du portefeuille</t>
  </si>
  <si>
    <t>Profiter de la période budgétaire pour relancer les prospects (signature possible pour 2027)</t>
  </si>
  <si>
    <t>Faire figurer les deals B2B de la Direction (Huawei, DGF…) dans le pipeline</t>
  </si>
  <si>
    <t>Communiquer sur le partenariat Huawei (site web, brochure)</t>
  </si>
  <si>
    <t>IAT — Contacts</t>
  </si>
  <si>
    <t>Base clients Côte d’Ivoire (BD_CLIENTS_CI.xlsx) + dirigeants identifiés par recherche web / LinkedIn (15/10/2026) · contacts dédoublonnés, profilés et rattachés au pipeline</t>
  </si>
  <si>
    <t>Profil déduit de la fonction · « Lien avec le pipeline » = compte, prospect ou cible concerné · Statut « Coordonnées à vérifier » = numéro à 8 chiffres (format antérieur à 2021)</t>
  </si>
  <si>
    <t>CONTACTS (420 lignes) — filtrer par entreprise, secteur, profil, source ou lien avec le pipeline</t>
  </si>
  <si>
    <t>Entreprise</t>
  </si>
  <si>
    <t>Secteur (base)</t>
  </si>
  <si>
    <t>Lien avec le pipeline IAT</t>
  </si>
  <si>
    <t>Statut du contact</t>
  </si>
  <si>
    <t>Source</t>
  </si>
  <si>
    <t>CNAM (Côte d’Ivoire)</t>
  </si>
  <si>
    <t>Dirigeants (recherche)</t>
  </si>
  <si>
    <t>Direction générale / métier</t>
  </si>
  <si>
    <t>Client — fiche CNAM</t>
  </si>
  <si>
    <t>À contacter</t>
  </si>
  <si>
    <t>Confirmé. Site officiel (ipscnam.ci) ; pas de profil LinkedIn trouvé.</t>
  </si>
  <si>
    <t>Recherche dirigeants (web + LinkedIn, 15/10/2026)</t>
  </si>
  <si>
    <t>Confirmé. LinkedIn : Directeur Général Adjoint.</t>
  </si>
  <si>
    <t>CNPS (Côte d’Ivoire)</t>
  </si>
  <si>
    <t>Client — fiche CNPS</t>
  </si>
  <si>
    <t>À confirmer. Cité en déc. 2023, introuvable sur LinkedIn. ⚠ La base clients CI indique Gballet BEUGRE comme DSI : à trancher.</t>
  </si>
  <si>
    <t>Confirmé. LinkedIn + presse.</t>
  </si>
  <si>
    <t>À confirmer. Profil LinkedIn en lecture limitée.</t>
  </si>
  <si>
    <t>FER (Côte d’Ivoire)</t>
  </si>
  <si>
    <t>Client — fiche FER</t>
  </si>
  <si>
    <t>Confirmé. Site officiel du FER (actif juillet 2026) ; dirige le FER depuis 2022 ; pas de profil LinkedIn.</t>
  </si>
  <si>
    <t>À confirmer. Information complémentaire de la recherche.</t>
  </si>
  <si>
    <t>NEURONES (groupe, France)</t>
  </si>
  <si>
    <t>Partenaire — fiche NEURONES</t>
  </si>
  <si>
    <t>Confirmé. LinkedIn + AMF.</t>
  </si>
  <si>
    <t>À confirmer. Déclarations AMF ; non revérifié sur LinkedIn.</t>
  </si>
  <si>
    <t>À confirmer.</t>
  </si>
  <si>
    <t>NSIA Vie (Côte d’Ivoire)</t>
  </si>
  <si>
    <t>Client — fiche NSIA (NSIA Vie)</t>
  </si>
  <si>
    <t>À confirmer. Profil LinkedIn limité, filiale non certifiée : à recouper.</t>
  </si>
  <si>
    <t>Confirmé. LinkedIn : DGA NSIA Vie CI (n’est plus directeur commercial).</t>
  </si>
  <si>
    <t>À confirmer. Équivalent le plus proche d’un directeur commercial.</t>
  </si>
  <si>
    <t>À confirmer. Interlocuteur clé pour le pitch Credolab Assurance (atelier avec les équipes actuarielles).</t>
  </si>
  <si>
    <t>À confirmer. N’est plus DG de NSIA Vie CI.</t>
  </si>
  <si>
    <t>PROSUMA (Côte d’Ivoire)</t>
  </si>
  <si>
    <t>Moussa Touré</t>
  </si>
  <si>
    <t>Pipeline — PROSUMA</t>
  </si>
  <si>
    <t>À confirmer. Profil non daté ; concordant avec la base clients CI (Moussa TOURE, DSI).</t>
  </si>
  <si>
    <t>Abou Kassam et Karim Fakhry</t>
  </si>
  <si>
    <t>Dirigeants (DG / PDG)</t>
  </si>
  <si>
    <t>Confirmé. Site officiel du groupe ; pas de profil LinkedIn trouvé.</t>
  </si>
  <si>
    <t>Banques &amp; assurances</t>
  </si>
  <si>
    <t>Miloud</t>
  </si>
  <si>
    <t>DSSI ABI</t>
  </si>
  <si>
    <t>+225 03 70 70 71</t>
  </si>
  <si>
    <t>miloud.chennaoui@banqueatlantique.net</t>
  </si>
  <si>
    <t>Credolab — cible complémentaire (base clients)</t>
  </si>
  <si>
    <t>Coordonnées à vérifier</t>
  </si>
  <si>
    <t>Base clients CI</t>
  </si>
  <si>
    <t>Yaya DAGNOGO</t>
  </si>
  <si>
    <t>Directeur Infrastructures &amp; Production</t>
  </si>
  <si>
    <t>01024465</t>
  </si>
  <si>
    <t>yaya.dagnogo@banqueatlantique.net</t>
  </si>
  <si>
    <t>Abdellilah</t>
  </si>
  <si>
    <t>Resp Achat ABI</t>
  </si>
  <si>
    <t>0102553507</t>
  </si>
  <si>
    <t>seydou.toure@banqueatlantique.net</t>
  </si>
  <si>
    <t>TIDIANE SERE</t>
  </si>
  <si>
    <t>+225 42 42 34 39</t>
  </si>
  <si>
    <t>thidian.sere@banqueatlantique.net</t>
  </si>
  <si>
    <t>ABOUT KOFFI</t>
  </si>
  <si>
    <t>Resp Achat BACI</t>
  </si>
  <si>
    <t>+225 40 92 74 07</t>
  </si>
  <si>
    <t>CHERIF BISSIRIOU</t>
  </si>
  <si>
    <t>+225 01 33 56 08</t>
  </si>
  <si>
    <t>cherif.bissiriou@banqueatlantique.net</t>
  </si>
  <si>
    <t>TOURE Seydou</t>
  </si>
  <si>
    <t>+225 07 38 29 23</t>
  </si>
  <si>
    <t>ADVANS</t>
  </si>
  <si>
    <t>Héloïse TROUILLEZ</t>
  </si>
  <si>
    <t>Chargée de projets digitaux</t>
  </si>
  <si>
    <t>05 45.55.52.47</t>
  </si>
  <si>
    <t>htrouillez@advanscotedivoire.com</t>
  </si>
  <si>
    <t>Credolab — Advans</t>
  </si>
  <si>
    <t>Jean Claude Amoikon SAMOU</t>
  </si>
  <si>
    <t>Gestionnaire Achats</t>
  </si>
  <si>
    <t>C: (+225) 75.58.47.13</t>
  </si>
  <si>
    <t>jcsamou@advanscotedivoire.com</t>
  </si>
  <si>
    <t>ADINGRA KOBENAN</t>
  </si>
  <si>
    <t>0707 38 18 97 / (+225) 75.58.46.46</t>
  </si>
  <si>
    <t>bkobenan@advanscotedivoire.com</t>
  </si>
  <si>
    <t>Franck Lakpa</t>
  </si>
  <si>
    <t>+225 75 58 47 36</t>
  </si>
  <si>
    <t>flakpa@advanscotedivoire.com</t>
  </si>
  <si>
    <t>Christian KACOU</t>
  </si>
  <si>
    <t>+225 07 82 00 14</t>
  </si>
  <si>
    <t>C.KACOU@cgiar.org</t>
  </si>
  <si>
    <t>VIRGILE ASSOGBA</t>
  </si>
  <si>
    <t>Directeur Administratif et Financier</t>
  </si>
  <si>
    <t>07 07 18 50 50</t>
  </si>
  <si>
    <t>vassogba@africaine-ci.com</t>
  </si>
  <si>
    <t>MIAN AHUI</t>
  </si>
  <si>
    <t>RI</t>
  </si>
  <si>
    <t>07 08 11 64 57</t>
  </si>
  <si>
    <t>mian.ahui@africaine-ci.ci</t>
  </si>
  <si>
    <t>YVES AMESSAN</t>
  </si>
  <si>
    <t>yves.amessan@africaine-ci.com</t>
  </si>
  <si>
    <t>Fulbert ATTOUMO</t>
  </si>
  <si>
    <t>87-310-833/ 06139798</t>
  </si>
  <si>
    <t>fulbert.attoumo@afrilandfirstbankgroup.com</t>
  </si>
  <si>
    <t>Souleymane Soumahoro</t>
  </si>
  <si>
    <t>(225) 27 21 21 07 00 (Fax) / (225) 27 21 21 07 80 (LD) / (225) 05 05 85 16 33 (cel)</t>
  </si>
  <si>
    <t>souleymane.soumahoro@alios-finance.com</t>
  </si>
  <si>
    <t>Mohamed ELEMAYE</t>
  </si>
  <si>
    <t>IT MANAGER</t>
  </si>
  <si>
    <t>01 72 50 05 69</t>
  </si>
  <si>
    <t>m.elemaye@amifa-ci.net</t>
  </si>
  <si>
    <t>Masseba Soumahoro</t>
  </si>
  <si>
    <t>(225) 27 22 42 67 27</t>
  </si>
  <si>
    <t>masseba.soumahoro@amifa-ci.net</t>
  </si>
  <si>
    <t>AXA ASSURANCE</t>
  </si>
  <si>
    <t>AMANI BORRO</t>
  </si>
  <si>
    <t>Resp Informatique</t>
  </si>
  <si>
    <t>+225 07016476</t>
  </si>
  <si>
    <t>amani.borro@axa.ci</t>
  </si>
  <si>
    <t>Credolab — AXA</t>
  </si>
  <si>
    <t>Junior AKANZA</t>
  </si>
  <si>
    <t>IT</t>
  </si>
  <si>
    <t>junior.akanza@axa.ci</t>
  </si>
  <si>
    <t>Dominique Mensah</t>
  </si>
  <si>
    <t>0709220000</t>
  </si>
  <si>
    <t>dmensah@banquepopulaire.ci</t>
  </si>
  <si>
    <t>TCHINAH</t>
  </si>
  <si>
    <t>Directeur Projet</t>
  </si>
  <si>
    <t>01 00 00 85</t>
  </si>
  <si>
    <t>cthinah@banquepopulaire.ci</t>
  </si>
  <si>
    <t>Williams ACKA</t>
  </si>
  <si>
    <t>RSSI Groupe</t>
  </si>
  <si>
    <t>0101826715</t>
  </si>
  <si>
    <t>wacka@banquepopulaire.ci</t>
  </si>
  <si>
    <t>KONAN Brou Claude Hervé</t>
  </si>
  <si>
    <t>Dir Achat</t>
  </si>
  <si>
    <t>+225 20 25 53 81 / +225 07 51 93 94</t>
  </si>
  <si>
    <t>chkonan@caissepargne.ci</t>
  </si>
  <si>
    <t>BAOBAB</t>
  </si>
  <si>
    <t>Wilson KOUAKOU</t>
  </si>
  <si>
    <t>0554876179</t>
  </si>
  <si>
    <t>tkouakou@baobabgroup.com</t>
  </si>
  <si>
    <t>Credolab — Baobab</t>
  </si>
  <si>
    <t>AminaSAMB</t>
  </si>
  <si>
    <t>Resp Achat</t>
  </si>
  <si>
    <t>0584 69 89 80</t>
  </si>
  <si>
    <t>asamb@baobabgroup.com</t>
  </si>
  <si>
    <t>SOMBO</t>
  </si>
  <si>
    <t>Directeur Achat</t>
  </si>
  <si>
    <t>0575 58 23 40</t>
  </si>
  <si>
    <t>psombo@baobabgroup.com</t>
  </si>
  <si>
    <t>Moussa TOURE</t>
  </si>
  <si>
    <t>07 58 51 30 12</t>
  </si>
  <si>
    <t>m.toure@bgfigroupe.com</t>
  </si>
  <si>
    <t>Paul TANO</t>
  </si>
  <si>
    <t>07 57 20 41 00</t>
  </si>
  <si>
    <t>p.tano@bgfigroupe.com</t>
  </si>
  <si>
    <t>MORISSON JEAN -SYLVAIN</t>
  </si>
  <si>
    <t>Resp Sécurité</t>
  </si>
  <si>
    <t>07 07 17 71 17</t>
  </si>
  <si>
    <t>jmorisson@bhci.ci</t>
  </si>
  <si>
    <t>Richard ZOUGOU</t>
  </si>
  <si>
    <t>Administrateur Sécurité des Systèmes d’information</t>
  </si>
  <si>
    <t>07 47 94 68 32</t>
  </si>
  <si>
    <t>rzougou@bhci.ci</t>
  </si>
  <si>
    <t>Diby Constant</t>
  </si>
  <si>
    <t>2250102000081</t>
  </si>
  <si>
    <t>cydiby@bhci.ci</t>
  </si>
  <si>
    <t>Moussa FOFANA</t>
  </si>
  <si>
    <t>Chef de Département Infra et Système</t>
  </si>
  <si>
    <t>07 57 17 17 17</t>
  </si>
  <si>
    <t>mofofana@bhci.ci</t>
  </si>
  <si>
    <t>Sidney TIAKPA</t>
  </si>
  <si>
    <t>Chef de Service Achat Logistique</t>
  </si>
  <si>
    <t>0558962471</t>
  </si>
  <si>
    <t>stiakpa@bhci.ci</t>
  </si>
  <si>
    <t>Mme PATRICIA N'DRI</t>
  </si>
  <si>
    <t>pndri@bhci.ci</t>
  </si>
  <si>
    <t>Noufe</t>
  </si>
  <si>
    <t>07 07620719</t>
  </si>
  <si>
    <t>anoufe@bni.ci</t>
  </si>
  <si>
    <t>Credolab — BNI · Wari+ (SGI)</t>
  </si>
  <si>
    <t>Coulibaly Zonzerigue</t>
  </si>
  <si>
    <t>DSSI</t>
  </si>
  <si>
    <t>097174713</t>
  </si>
  <si>
    <t>zonzerigue.coulibaly@bni.ci</t>
  </si>
  <si>
    <t>BAMBA</t>
  </si>
  <si>
    <t>IT Bni Finance</t>
  </si>
  <si>
    <t>09 63 33 08</t>
  </si>
  <si>
    <t>mohamed.bamba@bnifinances.ci</t>
  </si>
  <si>
    <t>Serge N'daw</t>
  </si>
  <si>
    <t>Chef De sce Infra &amp; Rx</t>
  </si>
  <si>
    <t>79032284</t>
  </si>
  <si>
    <t>serge.ndaw@bni.ci</t>
  </si>
  <si>
    <t>Yeo Legnimin</t>
  </si>
  <si>
    <t>Chef De Départ Infra, Système et base de Données</t>
  </si>
  <si>
    <t>0707 733524</t>
  </si>
  <si>
    <t>legnimin.yeo@bni.ci</t>
  </si>
  <si>
    <t>DJABOUET NARCISSE</t>
  </si>
  <si>
    <t>Resp Sce Achat</t>
  </si>
  <si>
    <t>0789507158</t>
  </si>
  <si>
    <t>narcisse.djabouet@bni.ci</t>
  </si>
  <si>
    <t>Rachelle URI Ahua</t>
  </si>
  <si>
    <t>Resp Sce Qualité</t>
  </si>
  <si>
    <t>88919257</t>
  </si>
  <si>
    <t>uri-rachele.ahua@bni.ci</t>
  </si>
  <si>
    <t>Venance KONAN</t>
  </si>
  <si>
    <t>07 35 42 55</t>
  </si>
  <si>
    <t>venance.konan@bnpparibas.com</t>
  </si>
  <si>
    <t>Paul Eric</t>
  </si>
  <si>
    <t>RSI</t>
  </si>
  <si>
    <t>89 52 6550</t>
  </si>
  <si>
    <t>pauleric.seck@bnpparibas.com</t>
  </si>
  <si>
    <t>Mme GAYIBOR Amma Laetitia</t>
  </si>
  <si>
    <t>Chef Departement Achats</t>
  </si>
  <si>
    <t>+225 20 20 17 89 / +225 57 14 78 04</t>
  </si>
  <si>
    <t>ammaleatitia.gayibor@bnpparibas.com</t>
  </si>
  <si>
    <t>BOA BANK CI</t>
  </si>
  <si>
    <t>johnson YAPI</t>
  </si>
  <si>
    <t>DSI GROUPE</t>
  </si>
  <si>
    <t>221 07 77 482 0450</t>
  </si>
  <si>
    <t>jyapi@boaholding.com</t>
  </si>
  <si>
    <t>Wari+ — BOA (SGI)</t>
  </si>
  <si>
    <t>John AYORA</t>
  </si>
  <si>
    <t>DSSI Groupe</t>
  </si>
  <si>
    <t>221 78 101 37 29</t>
  </si>
  <si>
    <t>jayora@boaholding.com</t>
  </si>
  <si>
    <t>Yves KPANOU</t>
  </si>
  <si>
    <t>212 637 40 93 89</t>
  </si>
  <si>
    <t>YKpanou@boaholding.com</t>
  </si>
  <si>
    <t>KRA</t>
  </si>
  <si>
    <t>RSS CI</t>
  </si>
  <si>
    <t>0545553152</t>
  </si>
  <si>
    <t>KKRA@boacoteivoire.com</t>
  </si>
  <si>
    <t>Harouna ISSA</t>
  </si>
  <si>
    <t>Ing Projet</t>
  </si>
  <si>
    <t>221 766376502</t>
  </si>
  <si>
    <t>iyharouna@boaholding.com</t>
  </si>
  <si>
    <t>ISSA Ibrahim</t>
  </si>
  <si>
    <t>221 77 249 58 47</t>
  </si>
  <si>
    <t>IIbrahim@boaholding.com</t>
  </si>
  <si>
    <t>Haidara DIALLO</t>
  </si>
  <si>
    <t>Resp Infra Rx</t>
  </si>
  <si>
    <t>+225 74 89 29 47</t>
  </si>
  <si>
    <t>adiallo@boacoteivoire.com</t>
  </si>
  <si>
    <t>TANON AKA</t>
  </si>
  <si>
    <t>Resp Achats</t>
  </si>
  <si>
    <t>+ 225 04 03 47 37</t>
  </si>
  <si>
    <t>taka@boacoteivoire.com</t>
  </si>
  <si>
    <t>BRIDGE BANK GROUP</t>
  </si>
  <si>
    <t>Mme KOUASSI</t>
  </si>
  <si>
    <t>01 40 14 87 03</t>
  </si>
  <si>
    <t>Credolab — Bridge Bank Group CI</t>
  </si>
  <si>
    <t>Delors Doro</t>
  </si>
  <si>
    <t>0556702007</t>
  </si>
  <si>
    <t>delors.doro@bridgebankgroup.com</t>
  </si>
  <si>
    <t>Brice Bleguin</t>
  </si>
  <si>
    <t>05 05 01 00 15</t>
  </si>
  <si>
    <t>brice.bleguin@gmail.com</t>
  </si>
  <si>
    <t>Victor KAKOU</t>
  </si>
  <si>
    <t>545411960</t>
  </si>
  <si>
    <t>victor.kakou@bridgebankgroup.com</t>
  </si>
  <si>
    <t>Dara Paul</t>
  </si>
  <si>
    <t>67 76 61 86</t>
  </si>
  <si>
    <t>paul.dara@bsic.ci</t>
  </si>
  <si>
    <t>SEHI KEVIN</t>
  </si>
  <si>
    <t>07 49 82 50 35</t>
  </si>
  <si>
    <t>KEVIN.SEHI@BSIC.CI</t>
  </si>
  <si>
    <t>Fulgence KOUAKOU</t>
  </si>
  <si>
    <t>07 07 70 67 89</t>
  </si>
  <si>
    <t>fulgence.kouakou@bsic.ci</t>
  </si>
  <si>
    <t>Salex KRIZA</t>
  </si>
  <si>
    <t>46 01 75 01</t>
  </si>
  <si>
    <t>SALEX.KRIZA@BSIC.CI</t>
  </si>
  <si>
    <t>COFINA GROUPE</t>
  </si>
  <si>
    <t>Leonard KOUASSI</t>
  </si>
  <si>
    <t>Group Head of IT</t>
  </si>
  <si>
    <t>07 07 20 32 10</t>
  </si>
  <si>
    <t>leonard.kouassi@cofinacorp.com</t>
  </si>
  <si>
    <t>Credolab — Cofina (« Confina CI » dans le pitch)</t>
  </si>
  <si>
    <t>Prosper FAYE</t>
  </si>
  <si>
    <t>+221 77 333 96 02</t>
  </si>
  <si>
    <t>prosper.faye@cofinacorp.com</t>
  </si>
  <si>
    <t>Emany kitsoukou</t>
  </si>
  <si>
    <t>+225 47639495</t>
  </si>
  <si>
    <t>emanny.kitsoukou@cofinacorp.com</t>
  </si>
  <si>
    <t>Honorat Fieny KOUAME</t>
  </si>
  <si>
    <t>Head IT COFINA</t>
  </si>
  <si>
    <t>07 77 10 26 84</t>
  </si>
  <si>
    <t>honorat.kouame@cofinacorp.com</t>
  </si>
  <si>
    <t>Alexis Loukou N’DRI</t>
  </si>
  <si>
    <t>+225 07 97 94 59 99</t>
  </si>
  <si>
    <t>alexis.ndri@cofinacorp.com</t>
  </si>
  <si>
    <t>Anderson OUATTARA</t>
  </si>
  <si>
    <t>Responsable Moyens Généraux CAC</t>
  </si>
  <si>
    <t>07 77 27 84 20</t>
  </si>
  <si>
    <t>anderson.ouattara@cofinacorp.com</t>
  </si>
  <si>
    <t>Saoudatou DIALLO</t>
  </si>
  <si>
    <t>Sce Achat DAKAR</t>
  </si>
  <si>
    <t>+221771913088</t>
  </si>
  <si>
    <t>saoudatou.diallo@cofinacorp.com</t>
  </si>
  <si>
    <t>Mustapha AZAIEZ</t>
  </si>
  <si>
    <t>Téléphone : +225 20 20 24 55</t>
  </si>
  <si>
    <t>mustapha.azaiez@comar.ci</t>
  </si>
  <si>
    <t>Omar Somtore</t>
  </si>
  <si>
    <t>0546636671</t>
  </si>
  <si>
    <t>osomtore@coris-bank.com</t>
  </si>
  <si>
    <t>Attabi LEGRE</t>
  </si>
  <si>
    <t>Chef De sce</t>
  </si>
  <si>
    <t>05 66 47 33 07</t>
  </si>
  <si>
    <t>rlegre@coris-bank.com</t>
  </si>
  <si>
    <t>Laurent COULIBALY</t>
  </si>
  <si>
    <t>Chef de Sce</t>
  </si>
  <si>
    <t>05 85 63 62 00</t>
  </si>
  <si>
    <t>flcoulibaly@coris-bank.com</t>
  </si>
  <si>
    <t>Anderson KOFFI YAO</t>
  </si>
  <si>
    <t>05 04 12 75 52</t>
  </si>
  <si>
    <t>kyao@coris-bank.com</t>
  </si>
  <si>
    <t>ECOBANK CI</t>
  </si>
  <si>
    <t>Désiré OULAI</t>
  </si>
  <si>
    <t>+ 225 07 09 21 95</t>
  </si>
  <si>
    <t>doulai@ecobank.com</t>
  </si>
  <si>
    <t>Credolab — Ecobank CI</t>
  </si>
  <si>
    <t>Anderson SERI</t>
  </si>
  <si>
    <t>07 57 1514 71 23</t>
  </si>
  <si>
    <t>aseri@ecobank.com</t>
  </si>
  <si>
    <t>André COULIBALY</t>
  </si>
  <si>
    <t>+ 225 08 08 61 68</t>
  </si>
  <si>
    <t>acoulibaly@ecobank.com</t>
  </si>
  <si>
    <t>Mockey</t>
  </si>
  <si>
    <t>+ 225 07 02 25 28</t>
  </si>
  <si>
    <t>gmockey@ecobank.com</t>
  </si>
  <si>
    <t>EDOUKOU</t>
  </si>
  <si>
    <t>+ 225 07 01 11 03</t>
  </si>
  <si>
    <t>Jean Claude ZOGBE</t>
  </si>
  <si>
    <t>Resp Systèmes D'Informations</t>
  </si>
  <si>
    <t>0789629904</t>
  </si>
  <si>
    <t>jean-claude.zogbe@wittifinances.com</t>
  </si>
  <si>
    <t>Françis YAO</t>
  </si>
  <si>
    <t>0709666018</t>
  </si>
  <si>
    <t>FYAO@fidra.ci</t>
  </si>
  <si>
    <t>ISSA DIALLO</t>
  </si>
  <si>
    <t>0708519114</t>
  </si>
  <si>
    <t>GUIBILA</t>
  </si>
  <si>
    <t>DIR ACHAT</t>
  </si>
  <si>
    <t>07 07 01 17 31</t>
  </si>
  <si>
    <t>ANICET.GUIBILA@fidra.ci</t>
  </si>
  <si>
    <t>FIN'ELLE</t>
  </si>
  <si>
    <t>Lolomba KONE</t>
  </si>
  <si>
    <t>Head of IT</t>
  </si>
  <si>
    <t>225 07 87 90 57 84</t>
  </si>
  <si>
    <t>lolamba.kone@cofinacorp.com</t>
  </si>
  <si>
    <t>Credolab — Fin’Elle</t>
  </si>
  <si>
    <t>Moussa SYLLA</t>
  </si>
  <si>
    <t>IT Department</t>
  </si>
  <si>
    <t>225 07 58 33 26 34</t>
  </si>
  <si>
    <t>m.sylla@cofinacorp.com</t>
  </si>
  <si>
    <t>FINELLE</t>
  </si>
  <si>
    <t>Moussa Sylla Finelle</t>
  </si>
  <si>
    <t>IT ASSISTANT</t>
  </si>
  <si>
    <t>siriki tiene</t>
  </si>
  <si>
    <t>0708110116</t>
  </si>
  <si>
    <t>siriki.tiene@gna-ci.com</t>
  </si>
  <si>
    <t>Innocent AKA</t>
  </si>
  <si>
    <t>0759495233</t>
  </si>
  <si>
    <t>innocent.aka@gtbank.com</t>
  </si>
  <si>
    <t>Kouame KOMENAN</t>
  </si>
  <si>
    <t>2730 311500</t>
  </si>
  <si>
    <t>komenan.kouame@gtbank.com</t>
  </si>
  <si>
    <t>Ibrahim coulibaly</t>
  </si>
  <si>
    <t>58 51 30 11</t>
  </si>
  <si>
    <t>ibrahim.coulibaly@mansabank.com</t>
  </si>
  <si>
    <t>Marcel kouadio</t>
  </si>
  <si>
    <t>69039126</t>
  </si>
  <si>
    <t>marcel.kouadio@mansabank.com</t>
  </si>
  <si>
    <t>Fabrice Hauhouot</t>
  </si>
  <si>
    <t>47930350</t>
  </si>
  <si>
    <t>fabrice.hauhouot@mansabank.com</t>
  </si>
  <si>
    <t>MIMOYE FINANCE SA</t>
  </si>
  <si>
    <t>lolamba kone resp informatique</t>
  </si>
  <si>
    <t>+225 07 87905784</t>
  </si>
  <si>
    <t>Credolab — groupe Cofina</t>
  </si>
  <si>
    <t>Serge ASSANDE</t>
  </si>
  <si>
    <t>DSI INFORMATIQUE</t>
  </si>
  <si>
    <t>0707207575</t>
  </si>
  <si>
    <t>serge.assande@mugef-ci.com</t>
  </si>
  <si>
    <t>AHUA BERNARD</t>
  </si>
  <si>
    <t>IT SUPPORT</t>
  </si>
  <si>
    <t>0759076530</t>
  </si>
  <si>
    <t>ahua@mugef-ci.com</t>
  </si>
  <si>
    <t>KOUTOU VIVIANE</t>
  </si>
  <si>
    <t>0759070874</t>
  </si>
  <si>
    <t>koutou@mugef6ci.com</t>
  </si>
  <si>
    <t>NSIA Banque</t>
  </si>
  <si>
    <t>Groupe NSIA (client) · Credolab</t>
  </si>
  <si>
    <t>NSIA PARTICIPATION</t>
  </si>
  <si>
    <t>SANOGO OUSMANE</t>
  </si>
  <si>
    <t>05 75 75 98 75</t>
  </si>
  <si>
    <t>ousmane.sanogo@orabank.net</t>
  </si>
  <si>
    <t>sinaly bakayoko dsi</t>
  </si>
  <si>
    <t>+225 07 82 07 73</t>
  </si>
  <si>
    <t>sinaly.bakayoko@orabank.net</t>
  </si>
  <si>
    <t>ANGOUA Dominique</t>
  </si>
  <si>
    <t>Directeur Transformations Digital</t>
  </si>
  <si>
    <t>Simon TIBE</t>
  </si>
  <si>
    <t>DSI IARD</t>
  </si>
  <si>
    <t>0797565324</t>
  </si>
  <si>
    <t>simon.tibe@ci.sanlam.com</t>
  </si>
  <si>
    <t>Hermance KADIO</t>
  </si>
  <si>
    <t>DRH,Informatique et Logistique</t>
  </si>
  <si>
    <t>0748499702</t>
  </si>
  <si>
    <t>hermance.kadionguessan@ci.sanlam.com</t>
  </si>
  <si>
    <t>Roland OUEDRAOGO</t>
  </si>
  <si>
    <t>07 89 40 10 10</t>
  </si>
  <si>
    <t>roland.oudraogo@ci.sanlam.com</t>
  </si>
  <si>
    <t>Judicael Guei</t>
  </si>
  <si>
    <t>Chef de Département Informatique</t>
  </si>
  <si>
    <t>0757563510</t>
  </si>
  <si>
    <t>judicael.guei@sahamassurance.com</t>
  </si>
  <si>
    <t>Antoine YAO</t>
  </si>
  <si>
    <t>RSI iard</t>
  </si>
  <si>
    <t>(+225) 47414186</t>
  </si>
  <si>
    <t>antoine.yao@sahamassurance.com</t>
  </si>
  <si>
    <t>Merlin DOUYOU</t>
  </si>
  <si>
    <t>Chargé de l'intégration de nouvelles solutions, des travaux d'exploitation et du développement</t>
  </si>
  <si>
    <t>20 32 77 98</t>
  </si>
  <si>
    <t>merlin.douyou@ci.sanlam.com</t>
  </si>
  <si>
    <t>KOUAMELAN</t>
  </si>
  <si>
    <t>Chef de Département Achats</t>
  </si>
  <si>
    <t>07 07 20 38 42</t>
  </si>
  <si>
    <t>therese.kouamelan@ci.sanlam.com</t>
  </si>
  <si>
    <t>Sidik DIALLO</t>
  </si>
  <si>
    <t>75 05 02 85</t>
  </si>
  <si>
    <t>sidik.diallo@socgen.com</t>
  </si>
  <si>
    <t>TILDY Erlong KEITA</t>
  </si>
  <si>
    <t>+225 86 95 58 36</t>
  </si>
  <si>
    <t>tildy.erlong@socgen.com</t>
  </si>
  <si>
    <t>HAMADOU SY</t>
  </si>
  <si>
    <t>05 18 75 75</t>
  </si>
  <si>
    <t>hamadou-samba.sy@socgen.com</t>
  </si>
  <si>
    <t>DIAKITE-TOURE</t>
  </si>
  <si>
    <t>0585000265</t>
  </si>
  <si>
    <t>mariethou.diakite-toure@socgen.com</t>
  </si>
  <si>
    <t>Marie-Christelle AHUI</t>
  </si>
  <si>
    <t>0504019297</t>
  </si>
  <si>
    <t>marie-christelle.ahui@socgen.com</t>
  </si>
  <si>
    <t>Olivier TIBE</t>
  </si>
  <si>
    <t>+225 04 78 00 41</t>
  </si>
  <si>
    <t>olivier.tibe@socgen.com</t>
  </si>
  <si>
    <t>Nadège EKPALE</t>
  </si>
  <si>
    <t>0505321866</t>
  </si>
  <si>
    <t>nadege.ekpale@sib.ci</t>
  </si>
  <si>
    <t>Arnaud ESSANE</t>
  </si>
  <si>
    <t>Arnaud.ESSANE@sib.ci</t>
  </si>
  <si>
    <t>Jean Christophe</t>
  </si>
  <si>
    <t>0505001290</t>
  </si>
  <si>
    <t>jeanchristophe.kouakou@sib.ci</t>
  </si>
  <si>
    <t>CYR COULIBALY</t>
  </si>
  <si>
    <t>cyr.coulibaly@sib.ci</t>
  </si>
  <si>
    <t>Catherine DADY</t>
  </si>
  <si>
    <t>07 57 080684</t>
  </si>
  <si>
    <t>catherine.dadi@sib.ci</t>
  </si>
  <si>
    <t>KAMAGATE Badihoui</t>
  </si>
  <si>
    <t>07 89 01 87 89</t>
  </si>
  <si>
    <t>Badihoui.KAMAGATE@sib.ci</t>
  </si>
  <si>
    <t>Harouna Traore</t>
  </si>
  <si>
    <t>2720200158</t>
  </si>
  <si>
    <t>harouna.traore@sib.ci</t>
  </si>
  <si>
    <t>SUNU ASSURANCE VIE</t>
  </si>
  <si>
    <t>Joseph tadjo</t>
  </si>
  <si>
    <t>077738861</t>
  </si>
  <si>
    <t>joseph.tadjo@sunu-group.com</t>
  </si>
  <si>
    <t>Credolab — SUNU</t>
  </si>
  <si>
    <t>ROCK GUINKO</t>
  </si>
  <si>
    <t>07 87 21 82 23</t>
  </si>
  <si>
    <t>roch.guinko@sunu-group.com</t>
  </si>
  <si>
    <t>Felix Adou</t>
  </si>
  <si>
    <t>05381644</t>
  </si>
  <si>
    <t>felix.adou@sunu-group.com</t>
  </si>
  <si>
    <t>Jean Pierre Assi</t>
  </si>
  <si>
    <t>09136702</t>
  </si>
  <si>
    <t>jean-pierre.assi@ubagroup.com</t>
  </si>
  <si>
    <t>EDDY ESSO</t>
  </si>
  <si>
    <t>0708088791 / 0151716092</t>
  </si>
  <si>
    <t>edi.esso@versusbank.com</t>
  </si>
  <si>
    <t>Gilles YAPO</t>
  </si>
  <si>
    <t>Directeurs des Opérations</t>
  </si>
  <si>
    <t>0747415005</t>
  </si>
  <si>
    <t>gilles.yapo@versusbank.com</t>
  </si>
  <si>
    <t>BAMBA KARAMOKA</t>
  </si>
  <si>
    <t>0758135551</t>
  </si>
  <si>
    <t>karamoko.bamba@versusbank.com</t>
  </si>
  <si>
    <t>hervé YAPI</t>
  </si>
  <si>
    <t>Chef Sce Réseau</t>
  </si>
  <si>
    <t>0708421145 / 0103489030</t>
  </si>
  <si>
    <t>Herve.Yapi@versusbank.com</t>
  </si>
  <si>
    <t>Fatou KEITA</t>
  </si>
  <si>
    <t>0101355769</t>
  </si>
  <si>
    <t>fatou.keita@versusbank.com</t>
  </si>
  <si>
    <t>Mines, énergie &amp; industrie</t>
  </si>
  <si>
    <t>Tanoh Hermann</t>
  </si>
  <si>
    <t>0709332615</t>
  </si>
  <si>
    <t>batanoh@cie.ci</t>
  </si>
  <si>
    <t>Pipeline — CIE</t>
  </si>
  <si>
    <t>GS2E</t>
  </si>
  <si>
    <t>Hermann N'ganza</t>
  </si>
  <si>
    <t>DTI</t>
  </si>
  <si>
    <t>0506323236</t>
  </si>
  <si>
    <t>hermann.nganza@gs2e.ci</t>
  </si>
  <si>
    <t>Pipeline — CIE / SODECI (GS2E, services IT du groupe)</t>
  </si>
  <si>
    <t>Moussa SIDIBE</t>
  </si>
  <si>
    <t>0101 00 08 89 / 07 07 74 12 07</t>
  </si>
  <si>
    <t>MOUSSA.SIDIBE@gs2e.ci</t>
  </si>
  <si>
    <t>Daouda Ouattara</t>
  </si>
  <si>
    <t>SD Rx &amp; Infra</t>
  </si>
  <si>
    <t>07 07 15 85 14 / 01 72 50 07 61</t>
  </si>
  <si>
    <t>daouda.ouattara@gs2e.ci</t>
  </si>
  <si>
    <t>NGUETTA</t>
  </si>
  <si>
    <t>Directeur Production</t>
  </si>
  <si>
    <t>01 52 000225</t>
  </si>
  <si>
    <t>ngabdoulaye@gs2e.ci</t>
  </si>
  <si>
    <t>NATACHA KOURO</t>
  </si>
  <si>
    <t>Chef de Sce Rx et Infra</t>
  </si>
  <si>
    <t>05 55 07 81 30 / 07 49 30 82 50 / 01 02 02 29 76</t>
  </si>
  <si>
    <t>YABKOUROU@gs2e.ci</t>
  </si>
  <si>
    <t>Eric OSSIENY</t>
  </si>
  <si>
    <t>Sce Achat</t>
  </si>
  <si>
    <t>07 7 72 32 62</t>
  </si>
  <si>
    <t>EOSSIENY@GS2E.CI</t>
  </si>
  <si>
    <t>Antoine KOFFI</t>
  </si>
  <si>
    <t>05 04 00 75 07</t>
  </si>
  <si>
    <t>ANTOINEKOFFI@GS2E.CI</t>
  </si>
  <si>
    <t>OLAM ( Outspan Ivoire )</t>
  </si>
  <si>
    <t>Alain MOGO</t>
  </si>
  <si>
    <t>DSI Groupe</t>
  </si>
  <si>
    <t>05 06 72 72 82</t>
  </si>
  <si>
    <t>Pipeline — Olam</t>
  </si>
  <si>
    <t>Oscar Ebiele</t>
  </si>
  <si>
    <t>M +225 65-38-74-33 / Whatsapp +225 07-74-63-89</t>
  </si>
  <si>
    <t>Oscar.Ebiele@olamnet.com</t>
  </si>
  <si>
    <t>MOOV</t>
  </si>
  <si>
    <t>Opérateurs télécoms</t>
  </si>
  <si>
    <t>AGNIN Yao Jules</t>
  </si>
  <si>
    <t>Chef de Division Ingénierie</t>
  </si>
  <si>
    <t>00225 01000914</t>
  </si>
  <si>
    <t>yaojules.agnin@moov.com</t>
  </si>
  <si>
    <t>Credolab — Moov Africa</t>
  </si>
  <si>
    <t>MEL Gilles</t>
  </si>
  <si>
    <t>Sous-Directeur Technique</t>
  </si>
  <si>
    <t>00225 01000963</t>
  </si>
  <si>
    <t>gilles.mel@moov.com</t>
  </si>
  <si>
    <t>NIAVA Rodrigue</t>
  </si>
  <si>
    <t>Manager Infrastructure</t>
  </si>
  <si>
    <t>Rodrigue.niava@moov.com</t>
  </si>
  <si>
    <t>MTN</t>
  </si>
  <si>
    <t>Corinne N’TAPKE</t>
  </si>
  <si>
    <t>Manager Technology Process</t>
  </si>
  <si>
    <t>22505238080</t>
  </si>
  <si>
    <t>Corinne.n’tapke@mtn.com</t>
  </si>
  <si>
    <t>Pipeline — MTN Côte d’Ivoire</t>
  </si>
  <si>
    <t>Arsène YAPO</t>
  </si>
  <si>
    <t>Principal Engineer: Data Network</t>
  </si>
  <si>
    <t>22505841735</t>
  </si>
  <si>
    <t>Arsene.Yapo@mtn.com</t>
  </si>
  <si>
    <t>Gérard AVOAKA</t>
  </si>
  <si>
    <t>Senior Manager: Data Networks Planning, Optimization and Maintenance</t>
  </si>
  <si>
    <t>22504000738</t>
  </si>
  <si>
    <t>gerard.avoaka@mtn.com</t>
  </si>
  <si>
    <t>Guy Maxime N’GAME</t>
  </si>
  <si>
    <t>Core Operations and HLS Manager</t>
  </si>
  <si>
    <t>22505817878</t>
  </si>
  <si>
    <t>Maxime.n’game@mtn.com</t>
  </si>
  <si>
    <t>Kader Gildas KONAN</t>
  </si>
  <si>
    <t>Manager, Core Data Configuration Group</t>
  </si>
  <si>
    <t>22504020193</t>
  </si>
  <si>
    <t>Gildas.konan@mtn.com</t>
  </si>
  <si>
    <t>Alain DIBY</t>
  </si>
  <si>
    <t>Manager Packet Core</t>
  </si>
  <si>
    <t>22505620314</t>
  </si>
  <si>
    <t>alain.diby@mtn.com</t>
  </si>
  <si>
    <t>Michael FOBI</t>
  </si>
  <si>
    <t>Manager IP/MPLS and Fixed Broadband</t>
  </si>
  <si>
    <t>22504007474</t>
  </si>
  <si>
    <t>Michael.fobifokou@mtn.com</t>
  </si>
  <si>
    <t>Celestin SARAKA</t>
  </si>
  <si>
    <t>Manager WACS &amp; Fiber Optics</t>
  </si>
  <si>
    <t>22505194242</t>
  </si>
  <si>
    <t>Celestin.saraka@mtn.com</t>
  </si>
  <si>
    <t>Carlos AFFOGBOLO</t>
  </si>
  <si>
    <t>Manager – Planning &amp; Operation LAN, Information Systems</t>
  </si>
  <si>
    <t>22505099112</t>
  </si>
  <si>
    <t>Carlos.AFFOGBOLO@mtn.com</t>
  </si>
  <si>
    <t>AFFOGBOLO Carlos</t>
  </si>
  <si>
    <t>0225 05099112</t>
  </si>
  <si>
    <t>Serges KOUAME</t>
  </si>
  <si>
    <t>MTN BUSINESS</t>
  </si>
  <si>
    <t>Roger GOUET</t>
  </si>
  <si>
    <t>Roger.Gouet@mtn.com</t>
  </si>
  <si>
    <t>Antonin BRAGAI</t>
  </si>
  <si>
    <t>Antonin.Bragai@mtn.com</t>
  </si>
  <si>
    <t>Eric AMBEU</t>
  </si>
  <si>
    <t>Eric.Ambeu@mtn.com</t>
  </si>
  <si>
    <t>Hervé ZANDO</t>
  </si>
  <si>
    <t>22505044448</t>
  </si>
  <si>
    <t>Herve.Zando@mtn.com</t>
  </si>
  <si>
    <t>ORANGE</t>
  </si>
  <si>
    <t>Orange Business · Credolab (Orange CI)</t>
  </si>
  <si>
    <t>BRVM</t>
  </si>
  <si>
    <t>Services &amp; autres</t>
  </si>
  <si>
    <t>Ali kanda</t>
  </si>
  <si>
    <t>+225 88098209</t>
  </si>
  <si>
    <t>akanda@brvm.org</t>
  </si>
  <si>
    <t>Wari+ — bourse (connexion marché)</t>
  </si>
  <si>
    <t>alain coulibaly</t>
  </si>
  <si>
    <t>0709535324</t>
  </si>
  <si>
    <t>acoulibaly@brvm.org</t>
  </si>
  <si>
    <t>Regninwoinddsondré Xavier GUISSO</t>
  </si>
  <si>
    <t>0759512579</t>
  </si>
  <si>
    <t>rxguissou@brvm.org</t>
  </si>
  <si>
    <t>PHOENIX CAPITAL</t>
  </si>
  <si>
    <t>Lydie Nguessan</t>
  </si>
  <si>
    <t>0707967513</t>
  </si>
  <si>
    <t>lnguessan@phoenixafricaholding.com</t>
  </si>
  <si>
    <t>Wari+ — SGI</t>
  </si>
  <si>
    <t>D : (+225) 27 21 25 34 16 / 07 57 25 79 54</t>
  </si>
  <si>
    <t>Moussa.Toure@prosuma.ci</t>
  </si>
  <si>
    <t>Également identifié comme DSI par la recherche web du 15/10/2026 (profil non daté).</t>
  </si>
  <si>
    <t>Emmanuel BOHUE</t>
  </si>
  <si>
    <t>Emmanuel.BOHUE@prosuma.ci</t>
  </si>
  <si>
    <t>Sosthène AOU</t>
  </si>
  <si>
    <t>Sosthene.Adou@prosuma.ci</t>
  </si>
  <si>
    <t>Willy N'GORAN</t>
  </si>
  <si>
    <t>Responsable Systèmes et Réseaux</t>
  </si>
  <si>
    <t>M : +225 07 09 09 56 55</t>
  </si>
  <si>
    <t>Willy.Ngoran@prosuma.ci</t>
  </si>
  <si>
    <t>Sociétés d’État, EPN &amp; EPIC</t>
  </si>
  <si>
    <t>AIR CI</t>
  </si>
  <si>
    <t>Transport &amp; logistique</t>
  </si>
  <si>
    <t>Martial DIABATE</t>
  </si>
  <si>
    <t>07 69 55 95 70</t>
  </si>
  <si>
    <t>ma.diabate@aircotedivoire.com</t>
  </si>
  <si>
    <t>Pipeline — Air Côte d’Ivoire</t>
  </si>
  <si>
    <t>Wilfried BAOU</t>
  </si>
  <si>
    <t>Cel : +225 58.70.01.93</t>
  </si>
  <si>
    <t>wi.baou@aircotedivoire.com</t>
  </si>
  <si>
    <t>Elakro Jean-Marc KEGNAN</t>
  </si>
  <si>
    <t>Chefs Département Achats</t>
  </si>
  <si>
    <t>Cel : +225 77 06 68 10</t>
  </si>
  <si>
    <t>jm.kegnan@aircotedivoire.com</t>
  </si>
  <si>
    <t>Jean M'BRA</t>
  </si>
  <si>
    <t>ja.mbra@aircotedivoire.com</t>
  </si>
  <si>
    <t>BOLLORE</t>
  </si>
  <si>
    <t>Dimitri ADON</t>
  </si>
  <si>
    <t>Chef de Département Infrastructure et Technique</t>
  </si>
  <si>
    <t>07 59 92 72 42 / 07 47 72 63 44</t>
  </si>
  <si>
    <t>Dimitri.ADON@bollore.com</t>
  </si>
  <si>
    <t>Pipeline — AGL (ex-Bolloré Africa Logistics)</t>
  </si>
  <si>
    <t>Bolloré Africa Logistics est devenu AGL : vérifier que le contact est toujours en poste.</t>
  </si>
  <si>
    <t>AFREXIM BANK</t>
  </si>
  <si>
    <t>Zoukpe Rown Elodie</t>
  </si>
  <si>
    <t>0757855616</t>
  </si>
  <si>
    <t>zrown@afreximbank.com</t>
  </si>
  <si>
    <t>ASCOMA</t>
  </si>
  <si>
    <t>Hamed Souhare</t>
  </si>
  <si>
    <t>0777356509</t>
  </si>
  <si>
    <t>hamed.souhare@ascoma.com</t>
  </si>
  <si>
    <t>AVENI-RE</t>
  </si>
  <si>
    <t>Charlemagne Nguessan</t>
  </si>
  <si>
    <t>07 07 06 47 09</t>
  </si>
  <si>
    <t>cnguessan@aveni-re.com</t>
  </si>
  <si>
    <t>BDA</t>
  </si>
  <si>
    <t>Ghislain Kouassi</t>
  </si>
  <si>
    <t>+225 69384731</t>
  </si>
  <si>
    <t>ghislain.kouassi@bda.ci</t>
  </si>
  <si>
    <t>CITIBANK</t>
  </si>
  <si>
    <t>Hobbah Nick</t>
  </si>
  <si>
    <t>0708350153</t>
  </si>
  <si>
    <t>nick.hobbah@citi.com</t>
  </si>
  <si>
    <t>Jean Didier KOUASSI</t>
  </si>
  <si>
    <t>07 69 33 05 15</t>
  </si>
  <si>
    <t>jean.didier.kouassi@citi.com</t>
  </si>
  <si>
    <t>CRRAE UEMOA</t>
  </si>
  <si>
    <t>Roaland Angaman</t>
  </si>
  <si>
    <t>07797511</t>
  </si>
  <si>
    <t>rangaman@crrae.org</t>
  </si>
  <si>
    <t>Standard Chartered Bank</t>
  </si>
  <si>
    <t>BONI</t>
  </si>
  <si>
    <t>+225 07966030</t>
  </si>
  <si>
    <t>boni.assi@sc.com</t>
  </si>
  <si>
    <t>Marlène Paule KONAN</t>
  </si>
  <si>
    <t>0707200938</t>
  </si>
  <si>
    <t>KONAN.MarlenePaule@stanbicbank.com.ci</t>
  </si>
  <si>
    <t>WILLIS TOWER</t>
  </si>
  <si>
    <t>Djibril SAVANE</t>
  </si>
  <si>
    <t>IT Incident Management</t>
  </si>
  <si>
    <t>M +225 08 13 90 27</t>
  </si>
  <si>
    <t>djibril.savane@ci.grassavoye.com</t>
  </si>
  <si>
    <t>Jean Claude SIGUI</t>
  </si>
  <si>
    <t>Responsable Informatique</t>
  </si>
  <si>
    <t>M + 225 07 59 87 80</t>
  </si>
  <si>
    <t>jean.claude.sigui@ci.grassavoye.com</t>
  </si>
  <si>
    <t>COULIBALY Ketty</t>
  </si>
  <si>
    <t>Service Moyens Généraux</t>
  </si>
  <si>
    <t>T :+ 225 20 25 25 05</t>
  </si>
  <si>
    <t>ketty.coulibaly@ci.grassavoye.com</t>
  </si>
  <si>
    <t>AZITO ENERGY</t>
  </si>
  <si>
    <t>Jean Marc TAKI</t>
  </si>
  <si>
    <t>(+225) 22400236/ 06141113</t>
  </si>
  <si>
    <t>jean-marc.taki@azitoenergie.com</t>
  </si>
  <si>
    <t>AZITO O&amp;M</t>
  </si>
  <si>
    <t>Zokou Just</t>
  </si>
  <si>
    <t>0103355312</t>
  </si>
  <si>
    <t>just.zokou@azito-om.com</t>
  </si>
  <si>
    <t>KONE Blandine</t>
  </si>
  <si>
    <t>2523004100</t>
  </si>
  <si>
    <t>blandine.kone@azito-om.com</t>
  </si>
  <si>
    <t>Soumana DIARRA</t>
  </si>
  <si>
    <t>soumana.diarra@azito-om.com</t>
  </si>
  <si>
    <t>guillaume.boni@azito-om.com</t>
  </si>
  <si>
    <t>BRASSIVOIRE</t>
  </si>
  <si>
    <t>Pascal NGORAN</t>
  </si>
  <si>
    <t>0787682110</t>
  </si>
  <si>
    <t>pascal.ngoran@heineken.com</t>
  </si>
  <si>
    <t>CARENA</t>
  </si>
  <si>
    <t>Nestor KABRAN</t>
  </si>
  <si>
    <t>(225) 57 02 46 10</t>
  </si>
  <si>
    <t>Nestor.KABRAN@carena.ci</t>
  </si>
  <si>
    <t>CARGILL</t>
  </si>
  <si>
    <t>Marc Zogouri</t>
  </si>
  <si>
    <t>0707037814</t>
  </si>
  <si>
    <t>marc_zogoury@cargill.com</t>
  </si>
  <si>
    <t>CIPREL</t>
  </si>
  <si>
    <t>Kouamé Serge Pacôme TIOSSOLO</t>
  </si>
  <si>
    <t>Sce Informatique</t>
  </si>
  <si>
    <t>05 44 62 92 29</t>
  </si>
  <si>
    <t>STIOSSOLO@ciprel.ci</t>
  </si>
  <si>
    <t>COCA COLA</t>
  </si>
  <si>
    <t>ARMEL GEOFFREY</t>
  </si>
  <si>
    <t>76614434</t>
  </si>
  <si>
    <t>ageoffrey@coca-cola.com</t>
  </si>
  <si>
    <t>Continental Beverage Company</t>
  </si>
  <si>
    <t>Roland Aman</t>
  </si>
  <si>
    <t>0584468539 / 0778688908</t>
  </si>
  <si>
    <t>roland.aman@cbc-ci.com</t>
  </si>
  <si>
    <t>ECO EBURNIE (MOTA ENGIL)</t>
  </si>
  <si>
    <t>Junior Comoe</t>
  </si>
  <si>
    <t>0768794129</t>
  </si>
  <si>
    <t>junior.comoe@mota-engil.ci</t>
  </si>
  <si>
    <t>ERANOVE</t>
  </si>
  <si>
    <t>Frederic Decio</t>
  </si>
  <si>
    <t>0575208967</t>
  </si>
  <si>
    <t>F.DECIO@eranove.com</t>
  </si>
  <si>
    <t>FOXTROT</t>
  </si>
  <si>
    <t>Fabrice BOULANGER</t>
  </si>
  <si>
    <t>07 08 999160</t>
  </si>
  <si>
    <t>fboulanger@foxtrot.ci</t>
  </si>
  <si>
    <t>Aboubacar DIABATE</t>
  </si>
  <si>
    <t>Aboubacar DIABATE Responsable d'Exploitation des Systèmes d'Information</t>
  </si>
  <si>
    <t>225 07 59 55 38 67</t>
  </si>
  <si>
    <t>adiabate@foxtrot.ci</t>
  </si>
  <si>
    <t>GESTOCI</t>
  </si>
  <si>
    <t>Jean Luc BOUSSIN</t>
  </si>
  <si>
    <t>01 01 00 96 73</t>
  </si>
  <si>
    <t>jlboussin@gestoci.ci</t>
  </si>
  <si>
    <t>Patrick KOUASSI</t>
  </si>
  <si>
    <t>Chef Sce Infrastructures Rx</t>
  </si>
  <si>
    <t>07 07 71 43 90</t>
  </si>
  <si>
    <t>pkouassi@gestoci.ci</t>
  </si>
  <si>
    <t>GMA</t>
  </si>
  <si>
    <t>Jean YVES NIAMKEY</t>
  </si>
  <si>
    <t>07 47 002552</t>
  </si>
  <si>
    <t>Jean-Yves.Niamkey@gma.ci</t>
  </si>
  <si>
    <t>Gerard DOHO</t>
  </si>
  <si>
    <t>0747306400</t>
  </si>
  <si>
    <t>GROUPE IPS</t>
  </si>
  <si>
    <t>Mansou SAMIR El Hadj (Holding)</t>
  </si>
  <si>
    <t>DSI CI</t>
  </si>
  <si>
    <t>0575581974</t>
  </si>
  <si>
    <t>mansour.elhadj@ips-wa.org</t>
  </si>
  <si>
    <t>AL-NOOR FADJELA (Holding)</t>
  </si>
  <si>
    <t>Directeur des Opérations</t>
  </si>
  <si>
    <t>0504025153</t>
  </si>
  <si>
    <t>alnoor.fadjela@ips-wa.org</t>
  </si>
  <si>
    <t>Serge Ambeu</t>
  </si>
  <si>
    <t>0707420868</t>
  </si>
  <si>
    <t>serge.ambeu@ips-wa.org</t>
  </si>
  <si>
    <t>Aurelien Koffi N'dri (Filitisac)</t>
  </si>
  <si>
    <t>0555204109</t>
  </si>
  <si>
    <t>aurelien.ndrikoffi@filtisac.com</t>
  </si>
  <si>
    <t>Abdoul Karamoko (Ivoire Coton)</t>
  </si>
  <si>
    <t>0707112229</t>
  </si>
  <si>
    <t>abdoul.karamoko@ivoire-coton.ci</t>
  </si>
  <si>
    <t>Germain Kouadio ( Chimtec)</t>
  </si>
  <si>
    <t>0504024583</t>
  </si>
  <si>
    <t>germain.kouadio@chimtec.ci</t>
  </si>
  <si>
    <t>LAFARGE HOLCIM</t>
  </si>
  <si>
    <t>Amidou Dicko</t>
  </si>
  <si>
    <t>Phone +225 20 25 22 50 / Mobile +225 47 12 05 23</t>
  </si>
  <si>
    <t>amidou.dicko@lafargeholcim.com</t>
  </si>
  <si>
    <t>MONDI</t>
  </si>
  <si>
    <t>Koffi Emmanuel</t>
  </si>
  <si>
    <t>(+225) 75292975</t>
  </si>
  <si>
    <t>Emmanuel.Koffi@mondigroup.com</t>
  </si>
  <si>
    <t>MOTA ENGIL (CLEAN EBURNIE)</t>
  </si>
  <si>
    <t>Joseph Konan</t>
  </si>
  <si>
    <t>0787160310</t>
  </si>
  <si>
    <t>joseph.konan@eco-eburnie.ci</t>
  </si>
  <si>
    <t>MOTA ENGIL (ECO EBURNIE)</t>
  </si>
  <si>
    <t>comoe</t>
  </si>
  <si>
    <t>225 0768 79 41 29</t>
  </si>
  <si>
    <t>Miguel Araujo</t>
  </si>
  <si>
    <t>58793810</t>
  </si>
  <si>
    <t>miguel.araujo@mota-engil.com</t>
  </si>
  <si>
    <t>Flora AKA</t>
  </si>
  <si>
    <t>01 01 678737</t>
  </si>
  <si>
    <t>flora.aka@mota-engil.com</t>
  </si>
  <si>
    <t>NESTLE</t>
  </si>
  <si>
    <t>Romuald Koffi</t>
  </si>
  <si>
    <t>06375785 / 09020727</t>
  </si>
  <si>
    <t>romualdarmel.koffi@ci.nestle.com</t>
  </si>
  <si>
    <t>Youssouf Aribot</t>
  </si>
  <si>
    <t>66989663</t>
  </si>
  <si>
    <t>youssouf.aribot@ci.nestle.com</t>
  </si>
  <si>
    <t>PALMAFRIQUE</t>
  </si>
  <si>
    <t>Edouard YAO</t>
  </si>
  <si>
    <t>ADMINISTRATEUR SYSTEMES / RSO</t>
  </si>
  <si>
    <t>Daniel Cocker</t>
  </si>
  <si>
    <t>0707623405</t>
  </si>
  <si>
    <t>daniel.cocker@palmafrique.ci</t>
  </si>
  <si>
    <t>PERSEUS</t>
  </si>
  <si>
    <t>Valérie BEUGRE</t>
  </si>
  <si>
    <t>PROCUREMENT OFFICER</t>
  </si>
  <si>
    <t>M +225 45552735</t>
  </si>
  <si>
    <t>Valerie.Beugre@perseusmining.com</t>
  </si>
  <si>
    <t>PERSEUS MINING</t>
  </si>
  <si>
    <t>Michef FOBA</t>
  </si>
  <si>
    <t>M +225 56425828</t>
  </si>
  <si>
    <t>Michael.Foba@perseusmining.com</t>
  </si>
  <si>
    <t>PETRO IVOIRE</t>
  </si>
  <si>
    <t>Didier Déon</t>
  </si>
  <si>
    <t>+225 47531144</t>
  </si>
  <si>
    <t>ATTE</t>
  </si>
  <si>
    <t>PETROCI</t>
  </si>
  <si>
    <t>YAO ARTHUR</t>
  </si>
  <si>
    <t>05 45 000025</t>
  </si>
  <si>
    <t>AEYAO@petroci.ci</t>
  </si>
  <si>
    <t>Zokou</t>
  </si>
  <si>
    <t>01 02 50 42 42</t>
  </si>
  <si>
    <t>jzokou@petroci.ci</t>
  </si>
  <si>
    <t>TOURE GBELE</t>
  </si>
  <si>
    <t>Chef de Département Infra &amp; Système</t>
  </si>
  <si>
    <t>0707076497</t>
  </si>
  <si>
    <t>gtoure@petroci.ci</t>
  </si>
  <si>
    <t>KACOU Daniche</t>
  </si>
  <si>
    <t>0707955066</t>
  </si>
  <si>
    <t>dkacou@petroci.ci</t>
  </si>
  <si>
    <t>PETROCI CI11</t>
  </si>
  <si>
    <t>Martin Kouakou</t>
  </si>
  <si>
    <t>505951844</t>
  </si>
  <si>
    <t>martin.kouakou@petroci-ci11.com</t>
  </si>
  <si>
    <t>Alban Kouakou</t>
  </si>
  <si>
    <t>505680209</t>
  </si>
  <si>
    <t>Alban.Kouakou@petroci-ci11.com</t>
  </si>
  <si>
    <t>ROXGOLD</t>
  </si>
  <si>
    <t>loukman ouedraogo</t>
  </si>
  <si>
    <t>0546650453 /2722599874</t>
  </si>
  <si>
    <t>youedraogo@roxgold.com</t>
  </si>
  <si>
    <t>SACO</t>
  </si>
  <si>
    <t>Fossou appolinaire</t>
  </si>
  <si>
    <t>0707637198</t>
  </si>
  <si>
    <t>jeanappolinaire_fossou@barry-callebaut.com</t>
  </si>
  <si>
    <t>SARCI SA</t>
  </si>
  <si>
    <t>Konan Volker</t>
  </si>
  <si>
    <t>47830574 / 05623301</t>
  </si>
  <si>
    <t>volker.konan@sarci.ci</t>
  </si>
  <si>
    <t>ETTIEN Parfait</t>
  </si>
  <si>
    <t>47614017</t>
  </si>
  <si>
    <t>parfait.etchien@sarci.ci</t>
  </si>
  <si>
    <t>SCB</t>
  </si>
  <si>
    <t>Henri KOUAME</t>
  </si>
  <si>
    <t>0707100989</t>
  </si>
  <si>
    <t>kouamehe@scb.ci</t>
  </si>
  <si>
    <t>Achille</t>
  </si>
  <si>
    <t>Resp Infra &amp; système</t>
  </si>
  <si>
    <t>07 57 66 87 14</t>
  </si>
  <si>
    <t>yaoa@scb.ci</t>
  </si>
  <si>
    <t>SFTP MINING</t>
  </si>
  <si>
    <t>Hamadoun Keba</t>
  </si>
  <si>
    <t>0022522411095/74090705</t>
  </si>
  <si>
    <t>hkeba@dsgcontracting.com</t>
  </si>
  <si>
    <t>SIR</t>
  </si>
  <si>
    <t>Adon Vital</t>
  </si>
  <si>
    <t>07 07 12 52 15</t>
  </si>
  <si>
    <t>vital.adon@sir.ci</t>
  </si>
  <si>
    <t>Antonio DAHOUINDJI</t>
  </si>
  <si>
    <t>07 47 44 30</t>
  </si>
  <si>
    <t>antonio.dahouindji@SIR.CI</t>
  </si>
  <si>
    <t>SOLIBRA</t>
  </si>
  <si>
    <t>Saint Blancat fabrice</t>
  </si>
  <si>
    <t>02093831</t>
  </si>
  <si>
    <t>fabrice.saint-blancat@castel-afrique.com</t>
  </si>
  <si>
    <t>Jeremy VERRIER</t>
  </si>
  <si>
    <t>0172483818</t>
  </si>
  <si>
    <t>jeremy.verrier@castel-afrique.com</t>
  </si>
  <si>
    <t>SONACO GROUPE</t>
  </si>
  <si>
    <t>Venance OULAI</t>
  </si>
  <si>
    <t>Responsable Système d’Information</t>
  </si>
  <si>
    <t>225 07 89 00 95 25</t>
  </si>
  <si>
    <t>voulai@sonaco.com.ci</t>
  </si>
  <si>
    <t>Salif TRAORE</t>
  </si>
  <si>
    <t>0778016789</t>
  </si>
  <si>
    <t>straore@sonaco.com.ci</t>
  </si>
  <si>
    <t>SUCDEN</t>
  </si>
  <si>
    <t>SORO Zakaria</t>
  </si>
  <si>
    <t>Tel : +225 24 38 31 74 – Mobile : +225 49 33 91 00</t>
  </si>
  <si>
    <t>zsoro@sucden.com</t>
  </si>
  <si>
    <t>TOTAL CI</t>
  </si>
  <si>
    <t>YASMINA KONATE</t>
  </si>
  <si>
    <t>225 0707 41 44 77</t>
  </si>
  <si>
    <t>yasmina.konate@total.ci</t>
  </si>
  <si>
    <t>Alexandre Ekponzan</t>
  </si>
  <si>
    <t>07070128</t>
  </si>
  <si>
    <t>alexandre.ekponzan@total.ci</t>
  </si>
  <si>
    <t>Dosso Adama</t>
  </si>
  <si>
    <t>07202546</t>
  </si>
  <si>
    <t>adama.dosso@total.ci</t>
  </si>
  <si>
    <t>UNIWAX</t>
  </si>
  <si>
    <t>Edmond KABA</t>
  </si>
  <si>
    <t>08 24 61 54</t>
  </si>
  <si>
    <t>edmond.kaba@uniwax.com</t>
  </si>
  <si>
    <t>YARA</t>
  </si>
  <si>
    <t>Maurille GUIETO</t>
  </si>
  <si>
    <t>Mobile: +225 06 53 35 60</t>
  </si>
  <si>
    <t>Maurille.Guieto@yara.com</t>
  </si>
  <si>
    <t>Atta Adou</t>
  </si>
  <si>
    <t>04629814 / 21215515</t>
  </si>
  <si>
    <t>atta.adou@yara.com</t>
  </si>
  <si>
    <t>BAD</t>
  </si>
  <si>
    <t>KANTE Souleiyman</t>
  </si>
  <si>
    <t>s.kante@afdb.irg</t>
  </si>
  <si>
    <t>UEMOA</t>
  </si>
  <si>
    <t>Organismes internationaux</t>
  </si>
  <si>
    <t>IDRISS BATHILY</t>
  </si>
  <si>
    <t>IBATHILY@uemoa.int</t>
  </si>
  <si>
    <t>AEG - CI</t>
  </si>
  <si>
    <t>Mme DIARRASSOUBA</t>
  </si>
  <si>
    <t>COMMERCIAL</t>
  </si>
  <si>
    <t>07 47 77 94 82</t>
  </si>
  <si>
    <t>aegcotedivoire@gmail.com</t>
  </si>
  <si>
    <t>AFRICA RICE</t>
  </si>
  <si>
    <t>Guillaume DION</t>
  </si>
  <si>
    <t>07 07 79 48 78</t>
  </si>
  <si>
    <t>G.Dion@cgiar.org</t>
  </si>
  <si>
    <t>ALINK</t>
  </si>
  <si>
    <t>Serge Ouattara</t>
  </si>
  <si>
    <t>0787330508</t>
  </si>
  <si>
    <t>serge.ouattara@alinktelecom.net</t>
  </si>
  <si>
    <t>BUREAU VERITAS</t>
  </si>
  <si>
    <t>Jacques EHORODOU</t>
  </si>
  <si>
    <t>IT LEAD</t>
  </si>
  <si>
    <t>0708357789</t>
  </si>
  <si>
    <t>jacques.ehorodou@bureauveritas.com</t>
  </si>
  <si>
    <t>BURIDA</t>
  </si>
  <si>
    <t>Yao Valentin</t>
  </si>
  <si>
    <t>0707090196</t>
  </si>
  <si>
    <t>valentin.yao@buridaci.com</t>
  </si>
  <si>
    <t>C2D JUSTICE</t>
  </si>
  <si>
    <t>Mme AMATA née NEBOUT</t>
  </si>
  <si>
    <t>Sécretaire Permanante</t>
  </si>
  <si>
    <t>0787613794 / 27 22 51 09 00</t>
  </si>
  <si>
    <t>ucpc2djustice@gmail.com</t>
  </si>
  <si>
    <t>CACOMIAF</t>
  </si>
  <si>
    <t>Kouadio Koffi</t>
  </si>
  <si>
    <t>0707679628</t>
  </si>
  <si>
    <t>kouadio.koffi@cacomiaf.com</t>
  </si>
  <si>
    <t>CED</t>
  </si>
  <si>
    <t>Dr Phillipe N'GORAN</t>
  </si>
  <si>
    <t>0101051792 / 0707673562</t>
  </si>
  <si>
    <t>pngoran@ced-ci.org</t>
  </si>
  <si>
    <t>CFAO RETAIL</t>
  </si>
  <si>
    <t>Tidiane TRAORE</t>
  </si>
  <si>
    <t>(225) 0777748390</t>
  </si>
  <si>
    <t>ttraore@cfao.com</t>
  </si>
  <si>
    <t>CONSEIL CAFE CACAO</t>
  </si>
  <si>
    <t>Harding Pascal</t>
  </si>
  <si>
    <t>0102032963</t>
  </si>
  <si>
    <t>harding@conseilcafecacao.ci</t>
  </si>
  <si>
    <t>DELOITTE</t>
  </si>
  <si>
    <t>Oumar Kone</t>
  </si>
  <si>
    <t>(225) 07 77 13 06 44</t>
  </si>
  <si>
    <t>okone@deloitte.fr</t>
  </si>
  <si>
    <t>ERCINN</t>
  </si>
  <si>
    <t>Serge N'GUESSAN</t>
  </si>
  <si>
    <t>Resp des Opérations</t>
  </si>
  <si>
    <t>0749120457 / 0779450251</t>
  </si>
  <si>
    <t>ercinn.operations@gmail.com</t>
  </si>
  <si>
    <t>FIRCA</t>
  </si>
  <si>
    <t>Herve OKOU</t>
  </si>
  <si>
    <t>225 07 09 46 18 // +225 09 52 56 54</t>
  </si>
  <si>
    <t>okouh@firca.ci</t>
  </si>
  <si>
    <t>IHE AFRIQUE /MDE</t>
  </si>
  <si>
    <t>Martin NGUESSAN</t>
  </si>
  <si>
    <t>Chef de Projet</t>
  </si>
  <si>
    <t>7690 11 14</t>
  </si>
  <si>
    <t>mknguessan@mde.ci</t>
  </si>
  <si>
    <t>IHS</t>
  </si>
  <si>
    <t>BAMBA Adama</t>
  </si>
  <si>
    <t>+225 09 76 63 60</t>
  </si>
  <si>
    <t>bamba.adama@ihstowers.com</t>
  </si>
  <si>
    <t>Bintou OUATTARA</t>
  </si>
  <si>
    <t>0556098352</t>
  </si>
  <si>
    <t>bintou.ouattara@ihstowers.com</t>
  </si>
  <si>
    <t>Inititative Cocoa</t>
  </si>
  <si>
    <t>Anicet Kadjo</t>
  </si>
  <si>
    <t>0708890667</t>
  </si>
  <si>
    <t>a.kadjo@cocoainitiative.org</t>
  </si>
  <si>
    <t>JLB Expertise</t>
  </si>
  <si>
    <t>Bruno Toussaint</t>
  </si>
  <si>
    <t>0789397800</t>
  </si>
  <si>
    <t>btoussaint@jlbexpertises.com</t>
  </si>
  <si>
    <t>KAP</t>
  </si>
  <si>
    <t>Elsie Amboko</t>
  </si>
  <si>
    <t>0777436550</t>
  </si>
  <si>
    <t>elsie.amboko@kerales.net</t>
  </si>
  <si>
    <t>LIFE TV</t>
  </si>
  <si>
    <t>ose sylvestre res info</t>
  </si>
  <si>
    <t>IT Manager</t>
  </si>
  <si>
    <t>+225 89934032</t>
  </si>
  <si>
    <t>skouame@lifetv.ci</t>
  </si>
  <si>
    <t>Charles Evans YOLOU</t>
  </si>
  <si>
    <t>DAF</t>
  </si>
  <si>
    <t>07 07 38 10 10</t>
  </si>
  <si>
    <t>cyolou@lifetv.ci</t>
  </si>
  <si>
    <t>LONACI</t>
  </si>
  <si>
    <t>Gerard Coulibaly</t>
  </si>
  <si>
    <t>2250708909308</t>
  </si>
  <si>
    <t>zcoulibaly@lonaci.ci</t>
  </si>
  <si>
    <t>KAHO Hyacinthe</t>
  </si>
  <si>
    <t>0789689824</t>
  </si>
  <si>
    <t>pkaho@lonaci.ci</t>
  </si>
  <si>
    <t>Bamba Hamza</t>
  </si>
  <si>
    <t>Chef De sce Infra</t>
  </si>
  <si>
    <t>59807748 / 03381121</t>
  </si>
  <si>
    <t>bhamza@lonaci.ci</t>
  </si>
  <si>
    <t>Nombro Ousmane</t>
  </si>
  <si>
    <t>47823117</t>
  </si>
  <si>
    <t>onombro@lonaci.ci</t>
  </si>
  <si>
    <t>Adama DIALLO</t>
  </si>
  <si>
    <t>48164319</t>
  </si>
  <si>
    <t>addiallo@lonaci.ci</t>
  </si>
  <si>
    <t>MACI</t>
  </si>
  <si>
    <t>Stephane kamdem</t>
  </si>
  <si>
    <t>(+225) 57161619</t>
  </si>
  <si>
    <t>stephane.kamdem@manutafci.com</t>
  </si>
  <si>
    <t>Ange KOBLAN</t>
  </si>
  <si>
    <t>(+225) 07799081/ 23535580</t>
  </si>
  <si>
    <t>koblan@manutafci.com</t>
  </si>
  <si>
    <t>Christian Gohore</t>
  </si>
  <si>
    <t>(+225) 89977028</t>
  </si>
  <si>
    <t>christian.gohore@manutafci.com</t>
  </si>
  <si>
    <t>Mairie de Port Bouet</t>
  </si>
  <si>
    <t>Mme NIAMKEY</t>
  </si>
  <si>
    <t>07 09 13 37 17</t>
  </si>
  <si>
    <t>Kouassi Alexis</t>
  </si>
  <si>
    <t>0707690490 / 0505943536</t>
  </si>
  <si>
    <t>alexis.kouassi@port-bouet.com
aleksgnanda@gmail.com</t>
  </si>
  <si>
    <t>Urbain BLE</t>
  </si>
  <si>
    <t>0747380049</t>
  </si>
  <si>
    <t>ble.urbain@port-bouet.ci</t>
  </si>
  <si>
    <t>MAZARS</t>
  </si>
  <si>
    <t>Serge Oyenan</t>
  </si>
  <si>
    <t>07076497</t>
  </si>
  <si>
    <t>serge.oyenan@mazars.ci</t>
  </si>
  <si>
    <t>OCP</t>
  </si>
  <si>
    <t>Abdoul Aziz DIALLO</t>
  </si>
  <si>
    <t>Country Manager</t>
  </si>
  <si>
    <t>225 84 01 82 72 / WHATSAPP : +229 60 80 50 23</t>
  </si>
  <si>
    <t>aa.diallo@ocpafrica.com</t>
  </si>
  <si>
    <t>Cedrick TAMESSUE</t>
  </si>
  <si>
    <t>PROCUREMENT MANAGER</t>
  </si>
  <si>
    <t>c.tamessue@ocpafrica.com</t>
  </si>
  <si>
    <t>Eleonore WAHOU</t>
  </si>
  <si>
    <t>Admin Officer OCP Côte d’Ivoire</t>
  </si>
  <si>
    <t>22505 55 58 98 99</t>
  </si>
  <si>
    <t>e.wahou@ocpafrica.com</t>
  </si>
  <si>
    <t>Carine SESS</t>
  </si>
  <si>
    <t>Busines Development Manager Ci</t>
  </si>
  <si>
    <t>225 05 76 84 91 13</t>
  </si>
  <si>
    <t>c.sess@ocpafrica.com</t>
  </si>
  <si>
    <t>PACCI</t>
  </si>
  <si>
    <t>M. N’Chot Célestin</t>
  </si>
  <si>
    <t>01 40 73 24 04</t>
  </si>
  <si>
    <t>celestin.nchot@pacci.ci</t>
  </si>
  <si>
    <t>Romuald KONAN</t>
  </si>
  <si>
    <t>Resp Achat &amp; Logistique</t>
  </si>
  <si>
    <t>01 40 73 23 99</t>
  </si>
  <si>
    <t>romuald.konan@pac-ci.org</t>
  </si>
  <si>
    <t>PFO AFRICA</t>
  </si>
  <si>
    <t>Tiemoko Kone</t>
  </si>
  <si>
    <t>(+225) 07774284 / 05023548</t>
  </si>
  <si>
    <t>tiemoko.kone@pfoafrica.com</t>
  </si>
  <si>
    <t>PIGIER</t>
  </si>
  <si>
    <t>Ouattara Souleymane</t>
  </si>
  <si>
    <t>0747474644</t>
  </si>
  <si>
    <t>obasouleymane@pigierci.com</t>
  </si>
  <si>
    <t>SANOFI</t>
  </si>
  <si>
    <t>Marcel BATEHO</t>
  </si>
  <si>
    <t>0707 36 30 84</t>
  </si>
  <si>
    <t>Marcel.Bateho-ext@sanofi.com</t>
  </si>
  <si>
    <t>Victoire Goourey</t>
  </si>
  <si>
    <t>Victoire.Goourey@sanofi.com</t>
  </si>
  <si>
    <t>SDA (CFAO Retail)</t>
  </si>
  <si>
    <t>Pierre-Claver KOUAME</t>
  </si>
  <si>
    <t>0777824778</t>
  </si>
  <si>
    <t>pckouame@cfao.com</t>
  </si>
  <si>
    <t>SECURIPORT</t>
  </si>
  <si>
    <t>Lucas Arizaga</t>
  </si>
  <si>
    <t>0709087302</t>
  </si>
  <si>
    <t>larizaga@securiport.com</t>
  </si>
  <si>
    <t>SITEL</t>
  </si>
  <si>
    <t>Hermann KOUAKOU</t>
  </si>
  <si>
    <t>IT Onsite Engineer Team Lead, Sitel CIV</t>
  </si>
  <si>
    <t>225.8412.0522 (M)</t>
  </si>
  <si>
    <t>HenriHermann.Kouakou@sitel.com</t>
  </si>
  <si>
    <t>Ahmed DJOURTHE</t>
  </si>
  <si>
    <t>05565285335</t>
  </si>
  <si>
    <t>Ahmed.Djourthe@sitel.com</t>
  </si>
  <si>
    <t>SNEDAI</t>
  </si>
  <si>
    <t>PAUL ANDRE DEBLEZA</t>
  </si>
  <si>
    <t>225 07 48 63 19 48</t>
  </si>
  <si>
    <t>andre.debleza@snedai.com</t>
  </si>
  <si>
    <t>Mme BICTOGO</t>
  </si>
  <si>
    <t>4200206</t>
  </si>
  <si>
    <t>Constance.Bictogo@snedai.com</t>
  </si>
  <si>
    <t>M. Ahui</t>
  </si>
  <si>
    <t>49003120</t>
  </si>
  <si>
    <t>martial.ahui@snedai.com</t>
  </si>
  <si>
    <t>SNS</t>
  </si>
  <si>
    <t>Jean DEGUI</t>
  </si>
  <si>
    <t>05 84 15 94 12</t>
  </si>
  <si>
    <t>kouame.charles@sns.ci</t>
  </si>
  <si>
    <t>Charles KOUAME</t>
  </si>
  <si>
    <t>SOCOCE CI</t>
  </si>
  <si>
    <t>Kroman DAOUDA</t>
  </si>
  <si>
    <t>07 49 93 43 99</t>
  </si>
  <si>
    <t>daouda.kroman@vitemoney.com</t>
  </si>
  <si>
    <t>SOGEPIE</t>
  </si>
  <si>
    <t>Luc GBAPPA</t>
  </si>
  <si>
    <t>0172521584</t>
  </si>
  <si>
    <t>gbappa@sogepie.ci</t>
  </si>
  <si>
    <t>Guy Martial LOBOGNON</t>
  </si>
  <si>
    <t>Resp informatique</t>
  </si>
  <si>
    <t>0758316053</t>
  </si>
  <si>
    <t>martial_lgm@yahoo.fr</t>
  </si>
  <si>
    <t>TECHNET PLUS</t>
  </si>
  <si>
    <t>Saikou Barry</t>
  </si>
  <si>
    <t>622471580</t>
  </si>
  <si>
    <t>saikou.barry@technet-plus.com</t>
  </si>
  <si>
    <t>TEYLIOM</t>
  </si>
  <si>
    <t>Adama Traore</t>
  </si>
  <si>
    <t>0545555255</t>
  </si>
  <si>
    <t>adama.traore@teyliom.com</t>
  </si>
  <si>
    <t>TRACTEBEL</t>
  </si>
  <si>
    <t>Sylvie Sahuie</t>
  </si>
  <si>
    <t>225 07 07 96 48 67</t>
  </si>
  <si>
    <t>sylvie.sahuie@tractebel.engie.com</t>
  </si>
  <si>
    <t>TRUVISION CO CI</t>
  </si>
  <si>
    <t>Louise Moudio</t>
  </si>
  <si>
    <t>585972925</t>
  </si>
  <si>
    <t>louise.moudio@truvisioncoci.com</t>
  </si>
  <si>
    <t>UCAO</t>
  </si>
  <si>
    <t>Kokouvi Etonam ADZANADO</t>
  </si>
  <si>
    <t>(+225) 46 01 92 77</t>
  </si>
  <si>
    <t>etonam.a@ucaouua.com</t>
  </si>
  <si>
    <t>UNICEF</t>
  </si>
  <si>
    <t>Adaman OUATTARA</t>
  </si>
  <si>
    <t>Tel : (+225) 05 98 31 53 / Fixe : (+225)22 47 96 04</t>
  </si>
  <si>
    <t>aouattara@unicef.org</t>
  </si>
  <si>
    <t>VOODOO</t>
  </si>
  <si>
    <t>Arristide YAO</t>
  </si>
  <si>
    <t>0707672097</t>
  </si>
  <si>
    <t>aristide.yao@voodoo-com.net</t>
  </si>
  <si>
    <t>WEBHELP</t>
  </si>
  <si>
    <t>Nicolas DECROCK</t>
  </si>
  <si>
    <t>0709503961</t>
  </si>
  <si>
    <t>nicolas.decrock@webhelp.com</t>
  </si>
  <si>
    <t>Evrard DIOUHO</t>
  </si>
  <si>
    <t>TECHNICIEN INFORMATIQUE</t>
  </si>
  <si>
    <t>0584433267</t>
  </si>
  <si>
    <t>evrard.diouho@ci.webhelp.com</t>
  </si>
  <si>
    <t>AGEROUTE</t>
  </si>
  <si>
    <t>OSHO</t>
  </si>
  <si>
    <t>0707624807</t>
  </si>
  <si>
    <t>jcosho@ageroute.ci</t>
  </si>
  <si>
    <t>ASSANOUA</t>
  </si>
  <si>
    <t>Administrateur Réseaux</t>
  </si>
  <si>
    <t>0709237332</t>
  </si>
  <si>
    <t>wiassanoua@ageroute.ci</t>
  </si>
  <si>
    <t>Wilfried</t>
  </si>
  <si>
    <t>OCHO</t>
  </si>
  <si>
    <t>AIGF</t>
  </si>
  <si>
    <t>Yves HOUSSOU</t>
  </si>
  <si>
    <t>05749361043</t>
  </si>
  <si>
    <t>Yves.HOUSSOU@aigf.ci</t>
  </si>
  <si>
    <t>ANAGED</t>
  </si>
  <si>
    <t>Dandy Lebeaux GNAZHALLET</t>
  </si>
  <si>
    <t>(+225) 07063440</t>
  </si>
  <si>
    <t>gdandylc@anaged.ci  dandy.lebeaux@gmail.com</t>
  </si>
  <si>
    <t>ANSUT</t>
  </si>
  <si>
    <t>Hermann KANGA</t>
  </si>
  <si>
    <t>Chef de Service IT et Applicatifs</t>
  </si>
  <si>
    <t>0779208128</t>
  </si>
  <si>
    <t>marius.kanga@ansut.ci</t>
  </si>
  <si>
    <t>ARTCI</t>
  </si>
  <si>
    <t>Jacques BEUGRE</t>
  </si>
  <si>
    <t>0777002867</t>
  </si>
  <si>
    <t>beugre.jacques@artci.ci</t>
  </si>
  <si>
    <t>Leatitia EBI</t>
  </si>
  <si>
    <t>Auditeur Sécurité</t>
  </si>
  <si>
    <t>0749495100</t>
  </si>
  <si>
    <t>carole@artci.ci</t>
  </si>
  <si>
    <t>BOLEBA Cynthia</t>
  </si>
  <si>
    <t>Chef de Sce Projet</t>
  </si>
  <si>
    <t>0707439973</t>
  </si>
  <si>
    <t>meuhmond.cynthia@artci.ci</t>
  </si>
  <si>
    <t>Coulibaly Casmir Onadié</t>
  </si>
  <si>
    <t>Chef de sce Infra</t>
  </si>
  <si>
    <t>0101793000</t>
  </si>
  <si>
    <t>onadie.casmir@artci.ci</t>
  </si>
  <si>
    <t>SAMY Stéphane</t>
  </si>
  <si>
    <t>Chef de Service Exploitation et Gestion des infras</t>
  </si>
  <si>
    <t>07 07 43 99 73</t>
  </si>
  <si>
    <t>samy.stephane@artci.ci</t>
  </si>
  <si>
    <t>BNETD</t>
  </si>
  <si>
    <t>Donatien KOUADIO</t>
  </si>
  <si>
    <t>DLSI</t>
  </si>
  <si>
    <t>0788 05 62 62</t>
  </si>
  <si>
    <t>dkouadio@bnetd.ci</t>
  </si>
  <si>
    <t>Nicaise KOUADIO</t>
  </si>
  <si>
    <t>Chef de Sce Infra et Syst</t>
  </si>
  <si>
    <t>+225 077782 45 44</t>
  </si>
  <si>
    <t>knkouame@bnetd.ci</t>
  </si>
  <si>
    <t>0768793250</t>
  </si>
  <si>
    <t>mofofana@bnetd.ci</t>
  </si>
  <si>
    <t>GUIE</t>
  </si>
  <si>
    <t>CGRAE</t>
  </si>
  <si>
    <t>Bassiran DEMBELE</t>
  </si>
  <si>
    <t>07 08 14 08 08 / 07 07 42 46 10</t>
  </si>
  <si>
    <t>Bdembele@cgrae.ci</t>
  </si>
  <si>
    <t>Guillaume SIGUI</t>
  </si>
  <si>
    <t>05 58 00 24 48 / 05 86 51 13 49</t>
  </si>
  <si>
    <t>gsigui@cgrae.ci</t>
  </si>
  <si>
    <t>M. NIANGOURAN</t>
  </si>
  <si>
    <t>CT</t>
  </si>
  <si>
    <t>07 47 84 52 00</t>
  </si>
  <si>
    <t>Sniangouran@cgrae.ci</t>
  </si>
  <si>
    <t>Antoine Philippe Chekry CHAKER</t>
  </si>
  <si>
    <t>Chef de Département Infrastructures et Exploitation</t>
  </si>
  <si>
    <t>07 58 21 90 / 46 16 13 26</t>
  </si>
  <si>
    <t>Achaker@cgrae.ci</t>
  </si>
  <si>
    <t>CI-ENERGIES</t>
  </si>
  <si>
    <t>Oussenou ROMBA</t>
  </si>
  <si>
    <t>Cel : (+225) 07 07 07 52 83</t>
  </si>
  <si>
    <t>oromba@cinergies.ci</t>
  </si>
  <si>
    <t>DOUANES CI</t>
  </si>
  <si>
    <t>Anzoumana</t>
  </si>
  <si>
    <t>07 48 48 1297</t>
  </si>
  <si>
    <t>sylla.anzoumana@douanes.ci</t>
  </si>
  <si>
    <t>Denis KOUASSI</t>
  </si>
  <si>
    <t>Sous-Directeur Dev Application</t>
  </si>
  <si>
    <t>07 08 79 31 71</t>
  </si>
  <si>
    <t>kouassi.denis@douanes.ci</t>
  </si>
  <si>
    <t>DECHI GERARD</t>
  </si>
  <si>
    <t>Resp Rx Informatique</t>
  </si>
  <si>
    <t>07 48381615</t>
  </si>
  <si>
    <t>dechi.gerard@douanes.ci</t>
  </si>
  <si>
    <t>ALLADIA Franck</t>
  </si>
  <si>
    <t>Sous Directeur Production</t>
  </si>
  <si>
    <t>+225 48 48 12 97</t>
  </si>
  <si>
    <t>alladia.erik@douanes.ci</t>
  </si>
  <si>
    <t>FDFP</t>
  </si>
  <si>
    <t>Alfred ADIKO</t>
  </si>
  <si>
    <t>0798918430</t>
  </si>
  <si>
    <t>alfred.adiko@fdfp.ci</t>
  </si>
  <si>
    <t>SIE GEREMI</t>
  </si>
  <si>
    <t>Chef Projet</t>
  </si>
  <si>
    <t>+225 08050344</t>
  </si>
  <si>
    <t>jeremie.sie@fdfp.ci</t>
  </si>
  <si>
    <t>HABG</t>
  </si>
  <si>
    <t>Seriba KONE</t>
  </si>
  <si>
    <t>Chef de Sce Informatique</t>
  </si>
  <si>
    <t>07 07 18 18 78</t>
  </si>
  <si>
    <t>s.kone@habg.ci</t>
  </si>
  <si>
    <t>NPSP</t>
  </si>
  <si>
    <t>Koré ZOULOU, Pharm D</t>
  </si>
  <si>
    <t>Directeur de l’Information Stratégique et la Planification Opérationnelle (DISPO) Director for Strategic Information and Operations Planning</t>
  </si>
  <si>
    <t>Tél: +225-21217306</t>
  </si>
  <si>
    <t>k.zoulou@npsp.ci</t>
  </si>
  <si>
    <t>ONECI</t>
  </si>
  <si>
    <t>M. NAHOUA COULIBALY</t>
  </si>
  <si>
    <t>07 88 98 85 88</t>
  </si>
  <si>
    <t>yac.coulibaly@oneci.ci</t>
  </si>
  <si>
    <t>Kouadio Léonce N'GUESSAN</t>
  </si>
  <si>
    <t>Chargé de la sécurité du SI</t>
  </si>
  <si>
    <t>709223438</t>
  </si>
  <si>
    <t>l.nguessan@oneci.ci</t>
  </si>
  <si>
    <t>Ramathou TOURE</t>
  </si>
  <si>
    <t>Project Manager</t>
  </si>
  <si>
    <t>07 48 91 55 64</t>
  </si>
  <si>
    <t>r.toure@oneci.ci</t>
  </si>
  <si>
    <t>M. Tidiane FOFANA</t>
  </si>
  <si>
    <t>Chef de Division Infra</t>
  </si>
  <si>
    <t>07 07 39 74 81</t>
  </si>
  <si>
    <t>t.fofana@oneci.ci</t>
  </si>
  <si>
    <t>PAA</t>
  </si>
  <si>
    <t>M. MACKY SANGARE</t>
  </si>
  <si>
    <t>+225 05 44 25 57 28</t>
  </si>
  <si>
    <t>macky.sangare@paa.ci</t>
  </si>
  <si>
    <t>ADJOGOUA</t>
  </si>
  <si>
    <t>Chef de Département</t>
  </si>
  <si>
    <t>0504 00 76 33</t>
  </si>
  <si>
    <t>serge.adjogoua@paa.ci</t>
  </si>
  <si>
    <t>IRRA</t>
  </si>
  <si>
    <t>Resp Infra Réseau</t>
  </si>
  <si>
    <t>0554 34 62 75</t>
  </si>
  <si>
    <t>gervais.irra@paa.ci</t>
  </si>
  <si>
    <t>PASP</t>
  </si>
  <si>
    <t>Serges N'GBECHE</t>
  </si>
  <si>
    <t>07 07 01 72 16</t>
  </si>
  <si>
    <t>sngbeche@pasp.ci</t>
  </si>
  <si>
    <t>Armand GUISSO</t>
  </si>
  <si>
    <t>07 49 28 79 40</t>
  </si>
  <si>
    <t>aguisso@pasp.ci</t>
  </si>
  <si>
    <t>KOUADIO</t>
  </si>
  <si>
    <t>07 88 18 00 30</t>
  </si>
  <si>
    <t>skouadio@pasp.ci</t>
  </si>
  <si>
    <t>PRESIDENCE DE LA RCI</t>
  </si>
  <si>
    <t>Soumahoro SOUALIO</t>
  </si>
  <si>
    <t>0707065577</t>
  </si>
  <si>
    <t>soualio.soumahoro@presidence.ci</t>
  </si>
  <si>
    <t>Schallum NANGUI</t>
  </si>
  <si>
    <t>07 77 79 1233</t>
  </si>
  <si>
    <t>Schallim.nangui@presidence.ci</t>
  </si>
  <si>
    <t>Nanguin COULIBALY</t>
  </si>
  <si>
    <t>03 59 03 76</t>
  </si>
  <si>
    <t>naguin.coulibaly@presidence.ci</t>
  </si>
  <si>
    <t>Zana COULIBALY</t>
  </si>
  <si>
    <t>07 07 83 11 15</t>
  </si>
  <si>
    <t>souleymane.coulibaly@presidence.ci</t>
  </si>
  <si>
    <t>RTI</t>
  </si>
  <si>
    <t>SOTTI Raphaël</t>
  </si>
  <si>
    <t>+225 56000017</t>
  </si>
  <si>
    <t>raphael.sotti@rti.ci</t>
  </si>
  <si>
    <t>BLA TOH Déh</t>
  </si>
  <si>
    <t>Chef de Département Infrastructures Administratives &amp; Broadcast</t>
  </si>
  <si>
    <t>05 55 94 43 49</t>
  </si>
  <si>
    <t>deh.blatoh@rti.ci</t>
  </si>
  <si>
    <t>Maimouna KARPE FOFANA</t>
  </si>
  <si>
    <t>2722401250 / 0505786963</t>
  </si>
  <si>
    <t>maimouna.fofana@rti.ci</t>
  </si>
  <si>
    <t>SIT</t>
  </si>
  <si>
    <t>Michel LEGRE</t>
  </si>
  <si>
    <t>CHEF DE SERVICE ACHATS</t>
  </si>
  <si>
    <t>05 46 017 076</t>
  </si>
  <si>
    <t>michel.legre@sidt.ci</t>
  </si>
  <si>
    <t>Koré Ahoussi Firmin OKIA</t>
  </si>
  <si>
    <t>07 77 27 18 63 /05 54 43 49 20</t>
  </si>
  <si>
    <t>firmin.okia@sidt.ci</t>
  </si>
  <si>
    <t>SODEFOR</t>
  </si>
  <si>
    <t>Joseph ANDERSON</t>
  </si>
  <si>
    <t>07 0794 9000</t>
  </si>
  <si>
    <t>j.anderson@sodefor.ci</t>
  </si>
  <si>
    <t>Mamadou KONE</t>
  </si>
  <si>
    <t>konemamadou@sodefor.ci</t>
  </si>
  <si>
    <t>SODEMI</t>
  </si>
  <si>
    <t>Namene Patrice</t>
  </si>
  <si>
    <t>07698684</t>
  </si>
  <si>
    <t>namene@sodemi.ci</t>
  </si>
  <si>
    <t>AFRIQUE PESAGE</t>
  </si>
  <si>
    <t>PETE KARIDIOULA DSI</t>
  </si>
  <si>
    <t>+225 78087232</t>
  </si>
  <si>
    <t>a.karidioula@afriquepesage.com</t>
  </si>
  <si>
    <t>Arnaud MONCKET</t>
  </si>
  <si>
    <t>225 07 89 82 51 60</t>
  </si>
  <si>
    <t>a.mbadjen@afriquepesage.com</t>
  </si>
  <si>
    <t>Mme KOUA</t>
  </si>
  <si>
    <t>79 14 12 11</t>
  </si>
  <si>
    <t>r.koua@afriquepesage.com</t>
  </si>
  <si>
    <t>CEPICI</t>
  </si>
  <si>
    <t>Christian BRITO</t>
  </si>
  <si>
    <t>+225 0556 95 55 56</t>
  </si>
  <si>
    <t>christian.brito@cepici.ci</t>
  </si>
  <si>
    <t>arnaud GOMPOU</t>
  </si>
  <si>
    <t>05 56 95 55 57 / 07 77 74 99 98</t>
  </si>
  <si>
    <t>arnaud.gompou@cepici.ci</t>
  </si>
  <si>
    <t>DHL INTERNATIONAL</t>
  </si>
  <si>
    <t>Emmanuel N'guessan</t>
  </si>
  <si>
    <t>0505064572</t>
  </si>
  <si>
    <t>emmanuel.nguessan@dhl.com</t>
  </si>
  <si>
    <t>LOGIS</t>
  </si>
  <si>
    <t>Boris DIABIA</t>
  </si>
  <si>
    <t>Responsable Informatiques et Projets</t>
  </si>
  <si>
    <t>Cel: 76 21 06 61 / 07 70 81 02</t>
  </si>
  <si>
    <t>boris.diabia@logis-ci.com</t>
  </si>
  <si>
    <t>MAERSK</t>
  </si>
  <si>
    <t>Daouda SOURABIE</t>
  </si>
  <si>
    <t>Direct phone: +225 21 21 91 17 / Mobile phone: +225 87 100 200</t>
  </si>
  <si>
    <t>Daouda.Sourabie@maersk.com</t>
  </si>
  <si>
    <t>MATCA</t>
  </si>
  <si>
    <t>Auguste Zadi</t>
  </si>
  <si>
    <t>0708290202</t>
  </si>
  <si>
    <t>zadiauguste@matca-ci.net</t>
  </si>
  <si>
    <t>MAYELIA</t>
  </si>
  <si>
    <t>Soro GOWA</t>
  </si>
  <si>
    <t>0709842080</t>
  </si>
  <si>
    <t>gowa.soro@cieriavitib.com</t>
  </si>
  <si>
    <t>Alla Modeste Konan</t>
  </si>
  <si>
    <t>0757328654</t>
  </si>
  <si>
    <t>alla.konan@mayelia.com</t>
  </si>
  <si>
    <t>SICTA</t>
  </si>
  <si>
    <t>Thiam Mbaye</t>
  </si>
  <si>
    <t>0767413726</t>
  </si>
  <si>
    <t>mbaye.thiam@dsgcontracting.com</t>
  </si>
  <si>
    <t>Steve Ano</t>
  </si>
  <si>
    <t>47049948</t>
  </si>
  <si>
    <t>steve.ano@sgs.com</t>
  </si>
  <si>
    <t>Tano manzere</t>
  </si>
  <si>
    <t>08 52 61 70</t>
  </si>
  <si>
    <t>manzere.tano@sgs.com</t>
  </si>
  <si>
    <t>TRACTAFRIC</t>
  </si>
  <si>
    <t>Oumar KEBE</t>
  </si>
  <si>
    <t>Tel: + 225 21 75 03 08 / Mobile : +225 05 99 64 16 / Fax: + 225 21 75 03 21</t>
  </si>
  <si>
    <t>Oumar.KEBE@tractafric.com</t>
  </si>
  <si>
    <t>UTB</t>
  </si>
  <si>
    <t>Jaures KOUAKOU</t>
  </si>
  <si>
    <t>Resp IT</t>
  </si>
  <si>
    <t>0506221798</t>
  </si>
  <si>
    <t>jaures.kouakou@utbci.net</t>
  </si>
  <si>
    <t>Etapes</t>
  </si>
  <si>
    <t>Types</t>
  </si>
  <si>
    <t>Leads</t>
  </si>
  <si>
    <t>Recur</t>
  </si>
  <si>
    <t>Prio</t>
  </si>
  <si>
    <t>OuiNon</t>
  </si>
  <si>
    <t>Sante</t>
  </si>
  <si>
    <t>EtapesAO</t>
  </si>
  <si>
    <t>Maitrise</t>
  </si>
  <si>
    <t>StatRen</t>
  </si>
  <si>
    <t>StatCont</t>
  </si>
  <si>
    <t>Oui</t>
  </si>
  <si>
    <t>Bon</t>
  </si>
  <si>
    <t>Non</t>
  </si>
  <si>
    <t>En cours</t>
  </si>
  <si>
    <t>Contacté</t>
  </si>
  <si>
    <t>Mixte</t>
  </si>
  <si>
    <t>Partiel</t>
  </si>
  <si>
    <t>À risque</t>
  </si>
  <si>
    <t>Fait</t>
  </si>
  <si>
    <t>En préparation</t>
  </si>
  <si>
    <t>RDV obtenu</t>
  </si>
  <si>
    <t>Bloqué</t>
  </si>
  <si>
    <t>Déposé</t>
  </si>
  <si>
    <t>Accord client</t>
  </si>
  <si>
    <t>Gagné</t>
  </si>
  <si>
    <t>Renouvelé</t>
  </si>
  <si>
    <t>Ne plus contacter</t>
  </si>
  <si>
    <t>Abandonné</t>
  </si>
  <si>
    <t>Ismael Djiré</t>
  </si>
  <si>
    <t xml:space="preserve">Ismael Djiré </t>
  </si>
  <si>
    <t>directeur du système d'information et chef de service sécurité et infrastructure</t>
  </si>
  <si>
    <t>Souleymane Cisse</t>
  </si>
  <si>
    <t>Ingénieur système service administrateur</t>
  </si>
  <si>
    <t>Exploitation / infra</t>
  </si>
  <si>
    <t>Naby Ouattara</t>
  </si>
  <si>
    <t>Direction SI</t>
  </si>
  <si>
    <t>Chef cde service Helpdesk</t>
  </si>
  <si>
    <t>Malick Coulibaly</t>
  </si>
  <si>
    <t>Chef de service Projet</t>
  </si>
  <si>
    <t>+225 0758543513</t>
  </si>
  <si>
    <t xml:space="preserve">Mahoula </t>
  </si>
  <si>
    <t>+225 0555252468</t>
  </si>
  <si>
    <t xml:space="preserve">Ahmed Tidiane Diomandé </t>
  </si>
  <si>
    <t>Directeur Général Adjoint</t>
  </si>
  <si>
    <t xml:space="preserve">Direction Générale </t>
  </si>
  <si>
    <t>DirectionSI</t>
  </si>
  <si>
    <t>Directeur du système d'information</t>
  </si>
  <si>
    <t>Souleymane Cisse / Ingénieur système service administrateur</t>
  </si>
  <si>
    <t>Ismael Djiré / Directeur du système d'information</t>
  </si>
  <si>
    <t>Présentation et formation sur les solutions de la CNAM endpoint central et services deskplus</t>
  </si>
  <si>
    <t>Fadel Koloma / Salim Kone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</si>
</sst>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charset val="1"/>
    </font>
    <font>
      <b/>
      <sz val="18"/>
      <color rgb="FF117A65"/>
      <name val="Georgia"/>
      <family val="1"/>
    </font>
    <font>
      <i/>
      <sz val="10"/>
      <color rgb="FF555555"/>
      <name val="Calibri"/>
      <family val="2"/>
    </font>
    <font>
      <b/>
      <sz val="12"/>
      <color rgb="FFFFFFFF"/>
      <name val="Calibri"/>
      <family val="2"/>
    </font>
    <font>
      <b/>
      <sz val="9"/>
      <color rgb="FF117A65"/>
      <name val="Calibri"/>
      <family val="2"/>
    </font>
    <font>
      <b/>
      <sz val="9"/>
      <color rgb="FF1A1A1A"/>
      <name val="Calibri"/>
      <family val="2"/>
    </font>
    <font>
      <u/>
      <sz val="9"/>
      <color rgb="FF1E8449"/>
      <name val="Calibri"/>
      <family val="2"/>
    </font>
    <font>
      <b/>
      <sz val="10"/>
      <color rgb="FFFFFFFF"/>
      <name val="Calibri"/>
      <family val="2"/>
    </font>
    <font>
      <sz val="9"/>
      <color rgb="FF333333"/>
      <name val="Calibri"/>
      <family val="2"/>
    </font>
    <font>
      <sz val="9"/>
      <color rgb="FF1E8449"/>
      <name val="Calibri"/>
      <family val="2"/>
    </font>
    <font>
      <b/>
      <sz val="9"/>
      <color rgb="FF1E8449"/>
      <name val="Calibri"/>
      <family val="2"/>
    </font>
    <font>
      <b/>
      <sz val="9"/>
      <color rgb="FFAF601A"/>
      <name val="Calibri"/>
      <family val="2"/>
    </font>
    <font>
      <b/>
      <i/>
      <sz val="9"/>
      <color rgb="FF117A65"/>
      <name val="Calibri"/>
      <family val="2"/>
    </font>
    <font>
      <b/>
      <sz val="11"/>
      <name val="Cambria"/>
      <family val="1"/>
    </font>
    <font>
      <sz val="8"/>
      <name val="Calibri"/>
      <family val="2"/>
      <charset val="1"/>
    </font>
  </fonts>
  <fills count="10">
    <fill>
      <patternFill patternType="none"/>
    </fill>
    <fill>
      <patternFill patternType="gray125"/>
    </fill>
    <fill>
      <patternFill patternType="solid">
        <fgColor rgb="FF117A65"/>
        <bgColor rgb="FF008080"/>
      </patternFill>
    </fill>
    <fill>
      <patternFill patternType="solid">
        <fgColor rgb="FFE8F6F3"/>
        <bgColor rgb="FFF4F6F6"/>
      </patternFill>
    </fill>
    <fill>
      <patternFill patternType="solid">
        <fgColor rgb="FFFFFFFF"/>
        <bgColor rgb="FFFEF9E7"/>
      </patternFill>
    </fill>
    <fill>
      <patternFill patternType="solid">
        <fgColor rgb="FFA3E4D7"/>
        <bgColor rgb="FFD5D8DC"/>
      </patternFill>
    </fill>
    <fill>
      <patternFill patternType="solid">
        <fgColor rgb="FFD5F5E3"/>
        <bgColor rgb="FFE8F6F3"/>
      </patternFill>
    </fill>
    <fill>
      <patternFill patternType="solid">
        <fgColor rgb="FFF4F6F6"/>
        <bgColor rgb="FFE8F6F3"/>
      </patternFill>
    </fill>
    <fill>
      <patternFill patternType="solid">
        <fgColor rgb="FFFEF9E7"/>
        <bgColor rgb="FFF4F6F6"/>
      </patternFill>
    </fill>
    <fill>
      <patternFill patternType="solid">
        <fgColor theme="0"/>
        <bgColor rgb="FFF4F6F6"/>
      </patternFill>
    </fill>
  </fills>
  <borders count="4">
    <border>
      <left/>
      <right/>
      <top/>
      <bottom/>
      <diagonal/>
    </border>
    <border>
      <left style="thin">
        <color rgb="FFD5D8DC"/>
      </left>
      <right style="thin">
        <color rgb="FFD5D8DC"/>
      </right>
      <top style="thin">
        <color rgb="FFD5D8DC"/>
      </top>
      <bottom style="thin">
        <color rgb="FFD5D8DC"/>
      </bottom>
      <diagonal/>
    </border>
    <border>
      <left style="thin">
        <color rgb="FFD5D8DC"/>
      </left>
      <right style="thin">
        <color rgb="FFD5D8DC"/>
      </right>
      <top style="medium">
        <color rgb="FFAAB7B8"/>
      </top>
      <bottom style="medium">
        <color rgb="FFAAB7B8"/>
      </bottom>
      <diagonal/>
    </border>
    <border>
      <left/>
      <right/>
      <top style="thin">
        <color rgb="FFD5D8DC"/>
      </top>
      <bottom/>
      <diagonal/>
    </border>
  </borders>
  <cellStyleXfs count="1">
    <xf numFmtId="0" fontId="0" fillId="0" borderId="0"/>
  </cellStyleXfs>
  <cellXfs count="54">
    <xf numFmtId="0" fontId="0" fillId="0" borderId="0" xfId="0"/>
    <xf numFmtId="0" fontId="5" fillId="4"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5" fillId="5" borderId="2" xfId="0" applyFont="1" applyFill="1" applyBorder="1" applyAlignment="1">
      <alignment horizontal="left" vertical="center" wrapText="1"/>
    </xf>
    <xf numFmtId="0" fontId="8" fillId="4"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1" fontId="5" fillId="4" borderId="1" xfId="0" applyNumberFormat="1" applyFont="1" applyFill="1" applyBorder="1" applyAlignment="1">
      <alignment horizontal="right" vertical="center"/>
    </xf>
    <xf numFmtId="164" fontId="5" fillId="4" borderId="1" xfId="0" applyNumberFormat="1" applyFont="1" applyFill="1" applyBorder="1" applyAlignment="1">
      <alignment horizontal="right" vertical="center"/>
    </xf>
    <xf numFmtId="165" fontId="5" fillId="4" borderId="1" xfId="0" applyNumberFormat="1" applyFont="1" applyFill="1" applyBorder="1" applyAlignment="1">
      <alignment horizontal="right" vertical="center"/>
    </xf>
    <xf numFmtId="0" fontId="6" fillId="4" borderId="1" xfId="0" applyFont="1" applyFill="1" applyBorder="1" applyAlignment="1">
      <alignment horizontal="left" vertical="center" wrapText="1"/>
    </xf>
    <xf numFmtId="1" fontId="8" fillId="4" borderId="1" xfId="0" applyNumberFormat="1" applyFont="1" applyFill="1" applyBorder="1" applyAlignment="1">
      <alignment horizontal="right" vertical="center"/>
    </xf>
    <xf numFmtId="164" fontId="8" fillId="4" borderId="1" xfId="0" applyNumberFormat="1" applyFont="1" applyFill="1" applyBorder="1" applyAlignment="1">
      <alignment horizontal="right" vertical="center"/>
    </xf>
    <xf numFmtId="165" fontId="8" fillId="4" borderId="1" xfId="0" applyNumberFormat="1" applyFont="1" applyFill="1" applyBorder="1" applyAlignment="1">
      <alignment horizontal="center" vertical="center" wrapText="1"/>
    </xf>
    <xf numFmtId="1" fontId="5" fillId="5" borderId="2" xfId="0" applyNumberFormat="1" applyFont="1" applyFill="1" applyBorder="1" applyAlignment="1">
      <alignment horizontal="left" vertical="center" wrapText="1"/>
    </xf>
    <xf numFmtId="164" fontId="5" fillId="5" borderId="2" xfId="0" applyNumberFormat="1" applyFont="1" applyFill="1" applyBorder="1" applyAlignment="1">
      <alignment horizontal="right" vertical="center"/>
    </xf>
    <xf numFmtId="165" fontId="5" fillId="5" borderId="2" xfId="0" applyNumberFormat="1" applyFont="1" applyFill="1" applyBorder="1" applyAlignment="1">
      <alignment horizontal="center" vertical="center" wrapText="1"/>
    </xf>
    <xf numFmtId="0" fontId="5" fillId="5" borderId="2" xfId="0" applyFont="1" applyFill="1" applyBorder="1" applyAlignment="1">
      <alignment horizontal="right" vertical="center"/>
    </xf>
    <xf numFmtId="0" fontId="9" fillId="4" borderId="1" xfId="0" applyFont="1" applyFill="1" applyBorder="1" applyAlignment="1">
      <alignment horizontal="center" vertical="center" wrapText="1"/>
    </xf>
    <xf numFmtId="164" fontId="9" fillId="4" borderId="1" xfId="0" applyNumberFormat="1" applyFont="1" applyFill="1" applyBorder="1" applyAlignment="1">
      <alignment horizontal="right" vertical="center"/>
    </xf>
    <xf numFmtId="0" fontId="6" fillId="0" borderId="0" xfId="0" applyFont="1"/>
    <xf numFmtId="0" fontId="8" fillId="4" borderId="1" xfId="0" applyFont="1" applyFill="1" applyBorder="1" applyAlignment="1">
      <alignment horizontal="center" vertical="center" wrapText="1"/>
    </xf>
    <xf numFmtId="9" fontId="10" fillId="6" borderId="1" xfId="0" applyNumberFormat="1" applyFont="1" applyFill="1" applyBorder="1" applyAlignment="1">
      <alignment horizontal="center" vertical="center" wrapText="1"/>
    </xf>
    <xf numFmtId="165" fontId="4" fillId="4" borderId="1" xfId="0" applyNumberFormat="1" applyFont="1" applyFill="1" applyBorder="1" applyAlignment="1">
      <alignment horizontal="center" vertical="center" wrapText="1"/>
    </xf>
    <xf numFmtId="14" fontId="8" fillId="4" borderId="1" xfId="0" applyNumberFormat="1" applyFont="1" applyFill="1" applyBorder="1" applyAlignment="1">
      <alignment horizontal="center" vertical="center" wrapText="1"/>
    </xf>
    <xf numFmtId="0" fontId="8" fillId="7"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164" fontId="8" fillId="8" borderId="1" xfId="0" applyNumberFormat="1" applyFont="1" applyFill="1" applyBorder="1" applyAlignment="1">
      <alignment horizontal="right" vertical="center"/>
    </xf>
    <xf numFmtId="14" fontId="9" fillId="4" borderId="1" xfId="0" applyNumberFormat="1" applyFont="1" applyFill="1" applyBorder="1" applyAlignment="1">
      <alignment horizontal="center" vertical="center" wrapText="1"/>
    </xf>
    <xf numFmtId="1" fontId="8"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14" fontId="8" fillId="8" borderId="1" xfId="0" applyNumberFormat="1" applyFont="1" applyFill="1" applyBorder="1" applyAlignment="1">
      <alignment horizontal="center" vertical="center" wrapText="1"/>
    </xf>
    <xf numFmtId="1" fontId="8" fillId="8" borderId="1" xfId="0" applyNumberFormat="1" applyFont="1" applyFill="1" applyBorder="1" applyAlignment="1">
      <alignment horizontal="center" vertical="center" wrapText="1"/>
    </xf>
    <xf numFmtId="1" fontId="8" fillId="4" borderId="1" xfId="0" applyNumberFormat="1" applyFont="1" applyFill="1" applyBorder="1" applyAlignment="1">
      <alignment horizontal="left" vertical="center" wrapText="1"/>
    </xf>
    <xf numFmtId="0" fontId="12"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3" fillId="0" borderId="0" xfId="0" applyFont="1"/>
    <xf numFmtId="0" fontId="8" fillId="4" borderId="0" xfId="0" applyFont="1" applyFill="1" applyAlignment="1">
      <alignment horizontal="left" vertical="center" wrapText="1"/>
    </xf>
    <xf numFmtId="0" fontId="8" fillId="4" borderId="1" xfId="0" applyFont="1" applyFill="1" applyBorder="1" applyAlignment="1">
      <alignment horizontal="left" vertical="center" wrapText="1"/>
    </xf>
    <xf numFmtId="0" fontId="3" fillId="2" borderId="0" xfId="0" applyFont="1" applyFill="1" applyAlignment="1">
      <alignment vertical="center" indent="1"/>
    </xf>
    <xf numFmtId="0" fontId="1" fillId="0" borderId="0" xfId="0" applyFont="1" applyAlignment="1">
      <alignment vertical="center"/>
    </xf>
    <xf numFmtId="0" fontId="2" fillId="0" borderId="0" xfId="0" applyFont="1" applyAlignment="1">
      <alignment vertical="center"/>
    </xf>
    <xf numFmtId="0" fontId="5" fillId="5" borderId="2"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8" fillId="4" borderId="3"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7" fillId="2"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14" fontId="8" fillId="8" borderId="1" xfId="0" applyNumberFormat="1" applyFont="1" applyFill="1" applyBorder="1" applyAlignment="1">
      <alignment horizontal="left" vertical="center" wrapText="1"/>
    </xf>
    <xf numFmtId="0" fontId="11" fillId="8" borderId="1" xfId="0" applyFont="1" applyFill="1" applyBorder="1" applyAlignment="1">
      <alignment horizontal="left" vertical="center" wrapText="1"/>
    </xf>
    <xf numFmtId="0" fontId="8" fillId="9" borderId="1" xfId="0" applyFont="1" applyFill="1" applyBorder="1" applyAlignment="1">
      <alignment horizontal="left" vertical="center" wrapText="1"/>
    </xf>
    <xf numFmtId="14" fontId="8" fillId="9" borderId="1" xfId="0" applyNumberFormat="1" applyFont="1" applyFill="1" applyBorder="1" applyAlignment="1">
      <alignment horizontal="left" vertical="center" wrapText="1"/>
    </xf>
    <xf numFmtId="0" fontId="8" fillId="4" borderId="1" xfId="0" applyNumberFormat="1" applyFont="1" applyFill="1" applyBorder="1" applyAlignment="1">
      <alignment horizontal="left" vertical="center" wrapText="1"/>
    </xf>
  </cellXfs>
  <cellStyles count="1">
    <cellStyle name="Normal" xfId="0" builtinId="0"/>
  </cellStyles>
  <dxfs count="38">
    <dxf>
      <font>
        <b/>
        <color rgb="FF1E8449"/>
      </font>
      <fill>
        <patternFill>
          <bgColor rgb="FFD5F5E3"/>
        </patternFill>
      </fill>
    </dxf>
    <dxf>
      <font>
        <b/>
        <color rgb="FF9A7D0A"/>
      </font>
      <fill>
        <patternFill>
          <bgColor rgb="FFFEF9E7"/>
        </patternFill>
      </fill>
    </dxf>
    <dxf>
      <fill>
        <patternFill>
          <bgColor rgb="FFD5F5E3"/>
        </patternFill>
      </fill>
    </dxf>
    <dxf>
      <font>
        <b/>
        <color rgb="FFC0392B"/>
      </font>
      <fill>
        <patternFill>
          <bgColor rgb="FFFADBD8"/>
        </patternFill>
      </fill>
    </dxf>
    <dxf>
      <font>
        <b/>
        <color rgb="FF1E8449"/>
      </font>
      <fill>
        <patternFill>
          <bgColor rgb="FFD5F5E3"/>
        </patternFill>
      </fill>
    </dxf>
    <dxf>
      <font>
        <b/>
        <color rgb="FFC0392B"/>
      </font>
    </dxf>
    <dxf>
      <font>
        <b/>
        <color rgb="FFC0392B"/>
      </font>
      <fill>
        <patternFill>
          <bgColor rgb="FFFADBD8"/>
        </patternFill>
      </fill>
    </dxf>
    <dxf>
      <font>
        <b/>
        <color rgb="FFC0392B"/>
      </font>
      <fill>
        <patternFill>
          <bgColor rgb="FFFADBD8"/>
        </patternFill>
      </fill>
    </dxf>
    <dxf>
      <font>
        <b/>
        <color rgb="FF1E8449"/>
      </font>
      <fill>
        <patternFill>
          <bgColor rgb="FFD5F5E3"/>
        </patternFill>
      </fill>
    </dxf>
    <dxf>
      <font>
        <b/>
        <color rgb="FFC0392B"/>
      </font>
    </dxf>
    <dxf>
      <font>
        <b/>
        <color rgb="FFC0392B"/>
      </font>
      <fill>
        <patternFill>
          <bgColor rgb="FFFADBD8"/>
        </patternFill>
      </fill>
    </dxf>
    <dxf>
      <font>
        <color rgb="FF7B7D7D"/>
      </font>
      <fill>
        <patternFill>
          <bgColor rgb="FFEAECEE"/>
        </patternFill>
      </fill>
    </dxf>
    <dxf>
      <font>
        <b/>
        <color rgb="FFAF601A"/>
      </font>
      <fill>
        <patternFill>
          <bgColor rgb="FFFDEBD0"/>
        </patternFill>
      </fill>
    </dxf>
    <dxf>
      <font>
        <b/>
        <color rgb="FF1E8449"/>
      </font>
      <fill>
        <patternFill>
          <bgColor rgb="FFD5F5E3"/>
        </patternFill>
      </fill>
    </dxf>
    <dxf>
      <font>
        <color rgb="FF7B7D7D"/>
      </font>
      <fill>
        <patternFill>
          <bgColor rgb="FFEAECEE"/>
        </patternFill>
      </fill>
    </dxf>
    <dxf>
      <font>
        <b/>
        <color rgb="FFAF601A"/>
      </font>
      <fill>
        <patternFill>
          <bgColor rgb="FFFDEBD0"/>
        </patternFill>
      </fill>
    </dxf>
    <dxf>
      <font>
        <b/>
        <color rgb="FF1E8449"/>
      </font>
      <fill>
        <patternFill>
          <bgColor rgb="FFD5F5E3"/>
        </patternFill>
      </fill>
    </dxf>
    <dxf>
      <font>
        <color rgb="FF7B7D7D"/>
      </font>
      <fill>
        <patternFill>
          <bgColor rgb="FFEAECEE"/>
        </patternFill>
      </fill>
    </dxf>
    <dxf>
      <font>
        <b/>
        <color rgb="FFAF601A"/>
      </font>
      <fill>
        <patternFill>
          <bgColor rgb="FFFDEBD0"/>
        </patternFill>
      </fill>
    </dxf>
    <dxf>
      <font>
        <b/>
        <color rgb="FF1E8449"/>
      </font>
      <fill>
        <patternFill>
          <bgColor rgb="FFD5F5E3"/>
        </patternFill>
      </fill>
    </dxf>
    <dxf>
      <font>
        <color rgb="FF7B7D7D"/>
      </font>
      <fill>
        <patternFill>
          <bgColor rgb="FFEAECEE"/>
        </patternFill>
      </fill>
    </dxf>
    <dxf>
      <font>
        <b/>
        <color rgb="FFAF601A"/>
      </font>
      <fill>
        <patternFill>
          <bgColor rgb="FFFDEBD0"/>
        </patternFill>
      </fill>
    </dxf>
    <dxf>
      <font>
        <b/>
        <color rgb="FF1E8449"/>
      </font>
      <fill>
        <patternFill>
          <bgColor rgb="FFD5F5E3"/>
        </patternFill>
      </fill>
    </dxf>
    <dxf>
      <font>
        <color rgb="FF7B7D7D"/>
      </font>
      <fill>
        <patternFill>
          <bgColor rgb="FFEAECEE"/>
        </patternFill>
      </fill>
    </dxf>
    <dxf>
      <font>
        <b/>
        <color rgb="FFAF601A"/>
      </font>
      <fill>
        <patternFill>
          <bgColor rgb="FFFDEBD0"/>
        </patternFill>
      </fill>
    </dxf>
    <dxf>
      <font>
        <b/>
        <color rgb="FF1E8449"/>
      </font>
      <fill>
        <patternFill>
          <bgColor rgb="FFD5F5E3"/>
        </patternFill>
      </fill>
    </dxf>
    <dxf>
      <font>
        <b/>
        <color rgb="FF9A7D0A"/>
      </font>
      <fill>
        <patternFill>
          <bgColor rgb="FFFEF9E7"/>
        </patternFill>
      </fill>
    </dxf>
    <dxf>
      <font>
        <b/>
        <color rgb="FF1E8449"/>
      </font>
      <fill>
        <patternFill>
          <bgColor rgb="FFD5F5E3"/>
        </patternFill>
      </fill>
    </dxf>
    <dxf>
      <font>
        <b/>
        <color rgb="FFAF601A"/>
      </font>
      <fill>
        <patternFill>
          <bgColor rgb="FFFDEBD0"/>
        </patternFill>
      </fill>
    </dxf>
    <dxf>
      <font>
        <b/>
        <color rgb="FFC0392B"/>
      </font>
      <fill>
        <patternFill>
          <bgColor rgb="FFFADBD8"/>
        </patternFill>
      </fill>
    </dxf>
    <dxf>
      <font>
        <b/>
        <color rgb="FFC0392B"/>
      </font>
    </dxf>
    <dxf>
      <font>
        <b/>
        <color rgb="FFAF601A"/>
      </font>
      <fill>
        <patternFill>
          <bgColor rgb="FFFDEBD0"/>
        </patternFill>
      </fill>
    </dxf>
    <dxf>
      <font>
        <b/>
        <color rgb="FFC0392B"/>
      </font>
      <fill>
        <patternFill>
          <bgColor rgb="FFFADBD8"/>
        </patternFill>
      </fill>
    </dxf>
    <dxf>
      <font>
        <color rgb="FF7B7D7D"/>
      </font>
      <fill>
        <patternFill>
          <bgColor rgb="FFEAECEE"/>
        </patternFill>
      </fill>
    </dxf>
    <dxf>
      <font>
        <b/>
        <color rgb="FF1E8449"/>
      </font>
      <fill>
        <patternFill>
          <bgColor rgb="FFD5F5E3"/>
        </patternFill>
      </fill>
    </dxf>
    <dxf>
      <font>
        <b/>
        <color rgb="FF1E8449"/>
      </font>
      <fill>
        <patternFill>
          <bgColor rgb="FFD5F5E3"/>
        </patternFill>
      </fill>
    </dxf>
    <dxf>
      <font>
        <b/>
        <color rgb="FFAF601A"/>
      </font>
      <fill>
        <patternFill>
          <bgColor rgb="FFFDEBD0"/>
        </patternFill>
      </fill>
    </dxf>
    <dxf>
      <font>
        <b/>
        <color rgb="FFC0392B"/>
      </font>
      <fill>
        <patternFill>
          <bgColor rgb="FFFADBD8"/>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A7D0A"/>
      <rgbColor rgb="FF800080"/>
      <rgbColor rgb="FF117A65"/>
      <rgbColor rgb="FFAAB7B8"/>
      <rgbColor rgb="FF7B7D7D"/>
      <rgbColor rgb="FF9999FF"/>
      <rgbColor rgb="FFAF601A"/>
      <rgbColor rgb="FFFEF9E7"/>
      <rgbColor rgb="FFE8F6F3"/>
      <rgbColor rgb="FF660066"/>
      <rgbColor rgb="FFFF8080"/>
      <rgbColor rgb="FF0066CC"/>
      <rgbColor rgb="FFD5D8DC"/>
      <rgbColor rgb="FF000080"/>
      <rgbColor rgb="FFFF00FF"/>
      <rgbColor rgb="FFFFFF00"/>
      <rgbColor rgb="FF00FFFF"/>
      <rgbColor rgb="FF800080"/>
      <rgbColor rgb="FF800000"/>
      <rgbColor rgb="FF008080"/>
      <rgbColor rgb="FF0000FF"/>
      <rgbColor rgb="FF00CCFF"/>
      <rgbColor rgb="FFEAECEE"/>
      <rgbColor rgb="FFD5F5E3"/>
      <rgbColor rgb="FFFDEBD0"/>
      <rgbColor rgb="FFA3E4D7"/>
      <rgbColor rgb="FFF4F6F6"/>
      <rgbColor rgb="FFCC99FF"/>
      <rgbColor rgb="FFFADBD8"/>
      <rgbColor rgb="FF3366FF"/>
      <rgbColor rgb="FF48C9B0"/>
      <rgbColor rgb="FF99CC00"/>
      <rgbColor rgb="FFFFCC00"/>
      <rgbColor rgb="FFF5B041"/>
      <rgbColor rgb="FFFF6600"/>
      <rgbColor rgb="FF555555"/>
      <rgbColor rgb="FF969696"/>
      <rgbColor rgb="FF003366"/>
      <rgbColor rgb="FF1E8449"/>
      <rgbColor rgb="FF003300"/>
      <rgbColor rgb="FF1A1A1A"/>
      <rgbColor rgb="FFC039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IPELINE_IAT_V3.xlsx" TargetMode="External"/><Relationship Id="rId13" Type="http://schemas.openxmlformats.org/officeDocument/2006/relationships/hyperlink" Target="PIPELINE_IAT_V3.xlsx" TargetMode="External"/><Relationship Id="rId18" Type="http://schemas.openxmlformats.org/officeDocument/2006/relationships/hyperlink" Target="PIPELINE_IAT_V3.xlsx" TargetMode="External"/><Relationship Id="rId3" Type="http://schemas.openxmlformats.org/officeDocument/2006/relationships/hyperlink" Target="PIPELINE_IAT_V3.xlsx" TargetMode="External"/><Relationship Id="rId21" Type="http://schemas.openxmlformats.org/officeDocument/2006/relationships/hyperlink" Target="PIPELINE_IAT_V3.xlsx" TargetMode="External"/><Relationship Id="rId7" Type="http://schemas.openxmlformats.org/officeDocument/2006/relationships/hyperlink" Target="PIPELINE_IAT_V3.xlsx" TargetMode="External"/><Relationship Id="rId12" Type="http://schemas.openxmlformats.org/officeDocument/2006/relationships/hyperlink" Target="PIPELINE_IAT_V3.xlsx" TargetMode="External"/><Relationship Id="rId17" Type="http://schemas.openxmlformats.org/officeDocument/2006/relationships/hyperlink" Target="PIPELINE_IAT_V3.xlsx" TargetMode="External"/><Relationship Id="rId2" Type="http://schemas.openxmlformats.org/officeDocument/2006/relationships/hyperlink" Target="PIPELINE_IAT_V3.xlsx" TargetMode="External"/><Relationship Id="rId16" Type="http://schemas.openxmlformats.org/officeDocument/2006/relationships/hyperlink" Target="PIPELINE_IAT_V3.xlsx" TargetMode="External"/><Relationship Id="rId20" Type="http://schemas.openxmlformats.org/officeDocument/2006/relationships/hyperlink" Target="PIPELINE_IAT_V3.xlsx" TargetMode="External"/><Relationship Id="rId1" Type="http://schemas.openxmlformats.org/officeDocument/2006/relationships/hyperlink" Target="PIPELINE_IAT_V3.xlsx" TargetMode="External"/><Relationship Id="rId6" Type="http://schemas.openxmlformats.org/officeDocument/2006/relationships/hyperlink" Target="PIPELINE_IAT_V3.xlsx" TargetMode="External"/><Relationship Id="rId11" Type="http://schemas.openxmlformats.org/officeDocument/2006/relationships/hyperlink" Target="PIPELINE_IAT_V3.xlsx" TargetMode="External"/><Relationship Id="rId24" Type="http://schemas.openxmlformats.org/officeDocument/2006/relationships/hyperlink" Target="PIPELINE_IAT_V3.xlsx" TargetMode="External"/><Relationship Id="rId5" Type="http://schemas.openxmlformats.org/officeDocument/2006/relationships/hyperlink" Target="PIPELINE_IAT_V3.xlsx" TargetMode="External"/><Relationship Id="rId15" Type="http://schemas.openxmlformats.org/officeDocument/2006/relationships/hyperlink" Target="PIPELINE_IAT_V3.xlsx" TargetMode="External"/><Relationship Id="rId23" Type="http://schemas.openxmlformats.org/officeDocument/2006/relationships/hyperlink" Target="PIPELINE_IAT_V3.xlsx" TargetMode="External"/><Relationship Id="rId10" Type="http://schemas.openxmlformats.org/officeDocument/2006/relationships/hyperlink" Target="PIPELINE_IAT_V3.xlsx" TargetMode="External"/><Relationship Id="rId19" Type="http://schemas.openxmlformats.org/officeDocument/2006/relationships/hyperlink" Target="PIPELINE_IAT_V3.xlsx" TargetMode="External"/><Relationship Id="rId4" Type="http://schemas.openxmlformats.org/officeDocument/2006/relationships/hyperlink" Target="PIPELINE_IAT_V3.xlsx" TargetMode="External"/><Relationship Id="rId9" Type="http://schemas.openxmlformats.org/officeDocument/2006/relationships/hyperlink" Target="PIPELINE_IAT_V3.xlsx" TargetMode="External"/><Relationship Id="rId14" Type="http://schemas.openxmlformats.org/officeDocument/2006/relationships/hyperlink" Target="PIPELINE_IAT_V3.xlsx" TargetMode="External"/><Relationship Id="rId22" Type="http://schemas.openxmlformats.org/officeDocument/2006/relationships/hyperlink" Target="PIPELINE_IAT_V3.xls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PIPELINE_IAT_V3.xlsx" TargetMode="External"/><Relationship Id="rId13" Type="http://schemas.openxmlformats.org/officeDocument/2006/relationships/hyperlink" Target="PIPELINE_IAT_V3.xlsx" TargetMode="External"/><Relationship Id="rId3" Type="http://schemas.openxmlformats.org/officeDocument/2006/relationships/hyperlink" Target="PIPELINE_IAT_V3.xlsx" TargetMode="External"/><Relationship Id="rId7" Type="http://schemas.openxmlformats.org/officeDocument/2006/relationships/hyperlink" Target="PIPELINE_IAT_V3.xlsx" TargetMode="External"/><Relationship Id="rId12" Type="http://schemas.openxmlformats.org/officeDocument/2006/relationships/hyperlink" Target="PIPELINE_IAT_V3.xlsx" TargetMode="External"/><Relationship Id="rId2" Type="http://schemas.openxmlformats.org/officeDocument/2006/relationships/hyperlink" Target="PIPELINE_IAT_V3.xlsx" TargetMode="External"/><Relationship Id="rId1" Type="http://schemas.openxmlformats.org/officeDocument/2006/relationships/hyperlink" Target="PIPELINE_IAT_V3.xlsx" TargetMode="External"/><Relationship Id="rId6" Type="http://schemas.openxmlformats.org/officeDocument/2006/relationships/hyperlink" Target="PIPELINE_IAT_V3.xlsx" TargetMode="External"/><Relationship Id="rId11" Type="http://schemas.openxmlformats.org/officeDocument/2006/relationships/hyperlink" Target="PIPELINE_IAT_V3.xlsx" TargetMode="External"/><Relationship Id="rId5" Type="http://schemas.openxmlformats.org/officeDocument/2006/relationships/hyperlink" Target="PIPELINE_IAT_V3.xlsx" TargetMode="External"/><Relationship Id="rId10" Type="http://schemas.openxmlformats.org/officeDocument/2006/relationships/hyperlink" Target="PIPELINE_IAT_V3.xlsx" TargetMode="External"/><Relationship Id="rId4" Type="http://schemas.openxmlformats.org/officeDocument/2006/relationships/hyperlink" Target="PIPELINE_IAT_V3.xlsx" TargetMode="External"/><Relationship Id="rId9" Type="http://schemas.openxmlformats.org/officeDocument/2006/relationships/hyperlink" Target="PIPELINE_IAT_V3.xlsx" TargetMode="External"/><Relationship Id="rId14" Type="http://schemas.openxmlformats.org/officeDocument/2006/relationships/hyperlink" Target="PIPELINE_IAT_V3.xlsx"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PIPELINE_IAT_V3.xlsx" TargetMode="External"/><Relationship Id="rId7" Type="http://schemas.openxmlformats.org/officeDocument/2006/relationships/hyperlink" Target="PIPELINE_IAT_V3.xlsx" TargetMode="External"/><Relationship Id="rId2" Type="http://schemas.openxmlformats.org/officeDocument/2006/relationships/hyperlink" Target="PIPELINE_IAT_V3.xlsx" TargetMode="External"/><Relationship Id="rId1" Type="http://schemas.openxmlformats.org/officeDocument/2006/relationships/hyperlink" Target="PIPELINE_IAT_V3.xlsx" TargetMode="External"/><Relationship Id="rId6" Type="http://schemas.openxmlformats.org/officeDocument/2006/relationships/hyperlink" Target="PIPELINE_IAT_V3.xlsx" TargetMode="External"/><Relationship Id="rId5" Type="http://schemas.openxmlformats.org/officeDocument/2006/relationships/hyperlink" Target="PIPELINE_IAT_V3.xlsx" TargetMode="External"/><Relationship Id="rId4" Type="http://schemas.openxmlformats.org/officeDocument/2006/relationships/hyperlink" Target="PIPELINE_IAT_V3.xlsx"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PIPELINE_IAT_V3.xlsx"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PIPELINE_IAT_V3.xlsx"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PIPELINE_IAT_V3.xlsx"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PIPELINE_IAT_V3.xlsx"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PIPELINE_IAT_V3.xlsx"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PIPELINE_IAT_V3.xlsx"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PIPELINE_IAT_V3.xls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PIPELINE_IAT_V3.xlsx"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PIPELINE_IAT_V3.xlsx"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PIPELINE_IAT_V3.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17A65"/>
    <pageSetUpPr fitToPage="1"/>
  </sheetPr>
  <dimension ref="B2:I89"/>
  <sheetViews>
    <sheetView showGridLines="0" zoomScale="192" zoomScaleNormal="192" workbookViewId="0">
      <selection activeCell="C48" sqref="C48"/>
    </sheetView>
  </sheetViews>
  <sheetFormatPr baseColWidth="10" defaultColWidth="8.6640625" defaultRowHeight="15" x14ac:dyDescent="0.2"/>
  <cols>
    <col min="1" max="1" width="3" customWidth="1"/>
    <col min="2" max="2" width="40" customWidth="1"/>
    <col min="3" max="8" width="16" customWidth="1"/>
    <col min="9" max="9" width="20" customWidth="1"/>
  </cols>
  <sheetData>
    <row r="2" spans="2:9" ht="34.5" customHeight="1" x14ac:dyDescent="0.2">
      <c r="B2" s="40" t="s">
        <v>0</v>
      </c>
      <c r="C2" s="40"/>
      <c r="D2" s="40"/>
      <c r="E2" s="40"/>
      <c r="F2" s="40"/>
      <c r="G2" s="40"/>
      <c r="H2" s="40"/>
      <c r="I2" s="40"/>
    </row>
    <row r="3" spans="2:9" ht="19.5" customHeight="1" x14ac:dyDescent="0.2">
      <c r="B3" s="41" t="s">
        <v>1</v>
      </c>
      <c r="C3" s="41"/>
      <c r="D3" s="41"/>
      <c r="E3" s="41"/>
      <c r="F3" s="41"/>
      <c r="G3" s="41"/>
      <c r="H3" s="41"/>
      <c r="I3" s="41"/>
    </row>
    <row r="4" spans="2:9" ht="18" customHeight="1" x14ac:dyDescent="0.2">
      <c r="B4" s="41" t="s">
        <v>2</v>
      </c>
      <c r="C4" s="41"/>
      <c r="D4" s="41"/>
      <c r="E4" s="41"/>
      <c r="F4" s="41"/>
      <c r="G4" s="41"/>
      <c r="H4" s="41"/>
      <c r="I4" s="41"/>
    </row>
    <row r="6" spans="2:9" ht="25.5" customHeight="1" x14ac:dyDescent="0.2">
      <c r="B6" s="39" t="s">
        <v>3</v>
      </c>
      <c r="C6" s="39"/>
      <c r="D6" s="39"/>
      <c r="E6" s="39"/>
      <c r="F6" s="39"/>
      <c r="G6" s="39"/>
      <c r="H6" s="39"/>
      <c r="I6" s="39"/>
    </row>
    <row r="7" spans="2:9" x14ac:dyDescent="0.2">
      <c r="B7" s="6" t="s">
        <v>4</v>
      </c>
      <c r="C7" s="7">
        <f>COUNTA('Pipeline global'!$D$9:$D$50)</f>
        <v>37</v>
      </c>
    </row>
    <row r="8" spans="2:9" x14ac:dyDescent="0.2">
      <c r="B8" s="6" t="s">
        <v>5</v>
      </c>
      <c r="C8" s="8">
        <f>SUM('Pipeline global'!$L$9:$L$50)</f>
        <v>453330882</v>
      </c>
    </row>
    <row r="9" spans="2:9" x14ac:dyDescent="0.2">
      <c r="B9" s="6" t="s">
        <v>6</v>
      </c>
      <c r="C9" s="8">
        <f>SUM('Pipeline global'!$M$9:$M$50)</f>
        <v>171217175</v>
      </c>
    </row>
    <row r="10" spans="2:9" x14ac:dyDescent="0.2">
      <c r="B10" s="6" t="s">
        <v>7</v>
      </c>
      <c r="C10" s="8">
        <f>SUM('Pipeline global'!$N$9:$N$50)</f>
        <v>39000000</v>
      </c>
    </row>
    <row r="11" spans="2:9" x14ac:dyDescent="0.2">
      <c r="B11" s="6" t="s">
        <v>8</v>
      </c>
      <c r="C11" s="9">
        <f>IFERROR(C10/C8,"")</f>
        <v>8.6029876958614082E-2</v>
      </c>
    </row>
    <row r="12" spans="2:9" x14ac:dyDescent="0.2">
      <c r="B12" s="6" t="s">
        <v>9</v>
      </c>
      <c r="C12" s="8">
        <f>SUMIFS('Pipeline global'!$L$9:$L$50,'Pipeline global'!$J$9:$J$50,"M6 – Gagné")</f>
        <v>114686175</v>
      </c>
    </row>
    <row r="13" spans="2:9" x14ac:dyDescent="0.2">
      <c r="B13" s="6" t="s">
        <v>10</v>
      </c>
      <c r="C13" s="8">
        <f>SUMIFS('Pipeline global'!$L$9:$L$50,'Pipeline global'!$J$9:$J$50,"M4 – Offre remise")+SUMIFS('Pipeline global'!$L$9:$L$50,'Pipeline global'!$J$9:$J$50,"M5 – Négociation / signature")</f>
        <v>186335000</v>
      </c>
    </row>
    <row r="14" spans="2:9" x14ac:dyDescent="0.2">
      <c r="B14" s="6" t="s">
        <v>11</v>
      </c>
      <c r="C14" s="7">
        <f>COUNTIFS('Pipeline global'!$J$9:$J$50,"M0 – À qualifier")</f>
        <v>18</v>
      </c>
    </row>
    <row r="15" spans="2:9" x14ac:dyDescent="0.2">
      <c r="B15" s="6" t="s">
        <v>12</v>
      </c>
      <c r="C15" s="7">
        <f>COUNTIFS('Pipeline global'!$P$9:$P$50,"P1")</f>
        <v>10</v>
      </c>
    </row>
    <row r="16" spans="2:9" x14ac:dyDescent="0.2">
      <c r="B16" s="6" t="s">
        <v>13</v>
      </c>
      <c r="C16" s="7">
        <f>COUNTIFS('Plan d’actions'!$C$9:$C$51,"&lt;&gt;",'Plan d’actions'!$H$9:$H$51,"&lt;&gt;Fait")</f>
        <v>38</v>
      </c>
    </row>
    <row r="18" spans="2:9" ht="25.5" customHeight="1" x14ac:dyDescent="0.2">
      <c r="B18" s="39" t="s">
        <v>14</v>
      </c>
      <c r="C18" s="39"/>
      <c r="D18" s="39"/>
      <c r="E18" s="39"/>
      <c r="F18" s="39"/>
      <c r="G18" s="39"/>
      <c r="H18" s="39"/>
      <c r="I18" s="39"/>
    </row>
    <row r="19" spans="2:9" x14ac:dyDescent="0.2">
      <c r="B19" s="6" t="s">
        <v>15</v>
      </c>
      <c r="C19" s="8">
        <f>CNAM!G45+CNPS!G45+FER!G38+NSIA!G48+'Orange Business'!G37+NEURONES!G39</f>
        <v>299743360</v>
      </c>
    </row>
    <row r="20" spans="2:9" x14ac:dyDescent="0.2">
      <c r="B20" s="6" t="s">
        <v>16</v>
      </c>
      <c r="C20" s="8">
        <f>CNAM!L45+CNPS!L45+FER!L38+NSIA!L48+'Orange Business'!L37+NEURONES!L39</f>
        <v>295243360</v>
      </c>
    </row>
    <row r="21" spans="2:9" x14ac:dyDescent="0.2">
      <c r="B21" s="6" t="s">
        <v>17</v>
      </c>
      <c r="C21" s="8">
        <f>CNAM!M45+CNPS!M45+FER!M38+NSIA!M48+'Orange Business'!M37+NEURONES!M39</f>
        <v>4500000</v>
      </c>
    </row>
    <row r="22" spans="2:9" x14ac:dyDescent="0.2">
      <c r="B22" s="6" t="s">
        <v>18</v>
      </c>
      <c r="C22" s="9">
        <f>IFERROR(C20/C19,"")</f>
        <v>0.9849871570132529</v>
      </c>
    </row>
    <row r="23" spans="2:9" x14ac:dyDescent="0.2">
      <c r="B23" s="6" t="s">
        <v>19</v>
      </c>
      <c r="C23" s="8">
        <f>Renouvellements!F21</f>
        <v>143648024</v>
      </c>
    </row>
    <row r="24" spans="2:9" x14ac:dyDescent="0.2">
      <c r="B24" s="6" t="s">
        <v>20</v>
      </c>
      <c r="C24" s="8">
        <f ca="1">SUMPRODUCT((LEFT(Renouvellements!$L$9:$L$20,4)="Échu")*Renouvellements!$F$9:$F$20)</f>
        <v>28961849</v>
      </c>
    </row>
    <row r="25" spans="2:9" x14ac:dyDescent="0.2">
      <c r="B25" s="6" t="s">
        <v>21</v>
      </c>
      <c r="C25" s="7">
        <f ca="1">SUMPRODUCT(--(LEFT(Renouvellements!$L$9:$L$20,4)="Échu"))</f>
        <v>2</v>
      </c>
    </row>
    <row r="26" spans="2:9" x14ac:dyDescent="0.2">
      <c r="B26" s="6" t="s">
        <v>22</v>
      </c>
      <c r="C26" s="7">
        <f ca="1">SUMPRODUCT(--(LEFT(Renouvellements!$L$9:$L$20,10)="À relancer"))</f>
        <v>0</v>
      </c>
    </row>
    <row r="27" spans="2:9" x14ac:dyDescent="0.2">
      <c r="B27" s="10" t="s">
        <v>23</v>
      </c>
    </row>
    <row r="29" spans="2:9" ht="25.5" customHeight="1" x14ac:dyDescent="0.2">
      <c r="B29" s="39" t="s">
        <v>24</v>
      </c>
      <c r="C29" s="39"/>
      <c r="D29" s="39"/>
      <c r="E29" s="39"/>
      <c r="F29" s="39"/>
      <c r="G29" s="39"/>
      <c r="H29" s="39"/>
      <c r="I29" s="39"/>
    </row>
    <row r="30" spans="2:9" x14ac:dyDescent="0.2">
      <c r="B30" s="6" t="s">
        <v>25</v>
      </c>
      <c r="C30" s="7">
        <f>COUNTA(Contacts!$C$9:$C$428)</f>
        <v>420</v>
      </c>
    </row>
    <row r="31" spans="2:9" x14ac:dyDescent="0.2">
      <c r="B31" s="6" t="s">
        <v>26</v>
      </c>
      <c r="C31" s="7">
        <f>SUMPRODUCT(--(Contacts!$J$9:$J$428&lt;&gt;""))</f>
        <v>210</v>
      </c>
    </row>
    <row r="32" spans="2:9" x14ac:dyDescent="0.2">
      <c r="B32" s="6" t="s">
        <v>27</v>
      </c>
      <c r="C32" s="7">
        <f>COUNTIF(Contacts!$G$9:$G$428,"Direction SI / digital")</f>
        <v>51</v>
      </c>
    </row>
    <row r="33" spans="2:9" x14ac:dyDescent="0.2">
      <c r="B33" s="6" t="s">
        <v>28</v>
      </c>
      <c r="C33" s="7">
        <f>COUNTIF(Contacts!$K$9:$K$428,"Coordonnées à vérifier")</f>
        <v>122</v>
      </c>
    </row>
    <row r="34" spans="2:9" x14ac:dyDescent="0.2">
      <c r="B34" s="6" t="s">
        <v>29</v>
      </c>
      <c r="C34" s="7">
        <f>COUNTIF(Contacts!$K$9:$K$428,"RDV obtenu")</f>
        <v>0</v>
      </c>
    </row>
    <row r="35" spans="2:9" x14ac:dyDescent="0.2">
      <c r="B35" s="6" t="s">
        <v>30</v>
      </c>
      <c r="C35" s="7">
        <f>COUNTIF(Contacts!$N$9:$N$428,"Recherche dirigeants (web + LinkedIn, 15/10/2026)")</f>
        <v>18</v>
      </c>
    </row>
    <row r="36" spans="2:9" x14ac:dyDescent="0.2">
      <c r="B36" s="10" t="s">
        <v>31</v>
      </c>
    </row>
    <row r="38" spans="2:9" ht="25.5" customHeight="1" x14ac:dyDescent="0.2">
      <c r="B38" s="39" t="s">
        <v>32</v>
      </c>
      <c r="C38" s="39"/>
      <c r="D38" s="39"/>
      <c r="E38" s="39"/>
      <c r="F38" s="39"/>
      <c r="G38" s="39"/>
      <c r="H38" s="39"/>
      <c r="I38" s="39"/>
    </row>
    <row r="39" spans="2:9" ht="30" customHeight="1" x14ac:dyDescent="0.2">
      <c r="B39" s="2" t="s">
        <v>33</v>
      </c>
      <c r="C39" s="2" t="s">
        <v>34</v>
      </c>
      <c r="D39" s="2" t="s">
        <v>35</v>
      </c>
      <c r="E39" s="2" t="s">
        <v>36</v>
      </c>
      <c r="F39" s="2" t="s">
        <v>37</v>
      </c>
      <c r="G39" s="2" t="s">
        <v>38</v>
      </c>
      <c r="H39" s="2" t="s">
        <v>39</v>
      </c>
    </row>
    <row r="40" spans="2:9" x14ac:dyDescent="0.2">
      <c r="B40" s="1" t="s">
        <v>40</v>
      </c>
      <c r="C40" s="11">
        <f>COUNTIFS('Pipeline global'!$C$9:$C$50,B40)</f>
        <v>12</v>
      </c>
      <c r="D40" s="12">
        <f>SUMIFS('Pipeline global'!$L$9:$L$50,'Pipeline global'!$C$9:$C$50,B40)</f>
        <v>345330882</v>
      </c>
      <c r="E40" s="12">
        <f>SUMIFS('Pipeline global'!$M$9:$M$50,'Pipeline global'!$C$9:$C$50,B40)</f>
        <v>171217175</v>
      </c>
      <c r="F40" s="12">
        <f>SUMIFS('Pipeline global'!$N$9:$N$50,'Pipeline global'!$C$9:$C$50,B40)</f>
        <v>39000000</v>
      </c>
      <c r="G40" s="13">
        <f>IFERROR(F40/D40,"")</f>
        <v>0.11293516459961435</v>
      </c>
      <c r="H40" s="10" t="s">
        <v>41</v>
      </c>
    </row>
    <row r="41" spans="2:9" ht="26" x14ac:dyDescent="0.2">
      <c r="B41" s="1" t="s">
        <v>42</v>
      </c>
      <c r="C41" s="11">
        <f>COUNTIFS('Pipeline global'!$C$9:$C$50,B41)</f>
        <v>23</v>
      </c>
      <c r="D41" s="12">
        <f>SUMIFS('Pipeline global'!$L$9:$L$50,'Pipeline global'!$C$9:$C$50,B41)</f>
        <v>108000000</v>
      </c>
      <c r="E41" s="12">
        <f>SUMIFS('Pipeline global'!$M$9:$M$50,'Pipeline global'!$C$9:$C$50,B41)</f>
        <v>0</v>
      </c>
      <c r="F41" s="12">
        <f>SUMIFS('Pipeline global'!$N$9:$N$50,'Pipeline global'!$C$9:$C$50,B41)</f>
        <v>0</v>
      </c>
      <c r="G41" s="13">
        <f>IFERROR(F41/D41,"")</f>
        <v>0</v>
      </c>
      <c r="H41" s="10" t="s">
        <v>43</v>
      </c>
    </row>
    <row r="42" spans="2:9" x14ac:dyDescent="0.2">
      <c r="B42" s="1" t="s">
        <v>44</v>
      </c>
      <c r="C42" s="11">
        <f>COUNTIFS('Pipeline global'!$C$9:$C$50,B42)</f>
        <v>1</v>
      </c>
      <c r="D42" s="12">
        <f>SUMIFS('Pipeline global'!$L$9:$L$50,'Pipeline global'!$C$9:$C$50,B42)</f>
        <v>0</v>
      </c>
      <c r="E42" s="12">
        <f>SUMIFS('Pipeline global'!$M$9:$M$50,'Pipeline global'!$C$9:$C$50,B42)</f>
        <v>0</v>
      </c>
      <c r="F42" s="12">
        <f>SUMIFS('Pipeline global'!$N$9:$N$50,'Pipeline global'!$C$9:$C$50,B42)</f>
        <v>0</v>
      </c>
      <c r="G42" s="13" t="str">
        <f>IFERROR(F42/D42,"")</f>
        <v/>
      </c>
      <c r="H42" s="10" t="s">
        <v>45</v>
      </c>
    </row>
    <row r="43" spans="2:9" x14ac:dyDescent="0.2">
      <c r="B43" s="1" t="s">
        <v>46</v>
      </c>
      <c r="C43" s="11">
        <f>COUNTIFS('Pipeline global'!$C$9:$C$50,B43)</f>
        <v>1</v>
      </c>
      <c r="D43" s="12">
        <f>SUMIFS('Pipeline global'!$L$9:$L$50,'Pipeline global'!$C$9:$C$50,B43)</f>
        <v>0</v>
      </c>
      <c r="E43" s="12">
        <f>SUMIFS('Pipeline global'!$M$9:$M$50,'Pipeline global'!$C$9:$C$50,B43)</f>
        <v>0</v>
      </c>
      <c r="F43" s="12">
        <f>SUMIFS('Pipeline global'!$N$9:$N$50,'Pipeline global'!$C$9:$C$50,B43)</f>
        <v>0</v>
      </c>
      <c r="G43" s="13" t="str">
        <f>IFERROR(F43/D43,"")</f>
        <v/>
      </c>
      <c r="H43" s="10" t="s">
        <v>47</v>
      </c>
    </row>
    <row r="44" spans="2:9" ht="19.5" customHeight="1" x14ac:dyDescent="0.2">
      <c r="B44" s="4" t="s">
        <v>48</v>
      </c>
      <c r="C44" s="14">
        <f>SUM(C40:C43)</f>
        <v>37</v>
      </c>
      <c r="D44" s="15">
        <f>SUM(D40:D43)</f>
        <v>453330882</v>
      </c>
      <c r="E44" s="15">
        <f>SUM(E40:E43)</f>
        <v>171217175</v>
      </c>
      <c r="F44" s="15">
        <f>SUM(F40:F43)</f>
        <v>39000000</v>
      </c>
      <c r="G44" s="16">
        <f>IFERROR(F44/D44,"")</f>
        <v>8.6029876958614082E-2</v>
      </c>
      <c r="H44" s="17"/>
      <c r="I44" s="17"/>
    </row>
    <row r="46" spans="2:9" ht="25.5" customHeight="1" x14ac:dyDescent="0.2">
      <c r="B46" s="39" t="s">
        <v>49</v>
      </c>
      <c r="C46" s="39"/>
      <c r="D46" s="39"/>
      <c r="E46" s="39"/>
      <c r="F46" s="39"/>
      <c r="G46" s="39"/>
      <c r="H46" s="39"/>
      <c r="I46" s="39"/>
    </row>
    <row r="47" spans="2:9" ht="30" customHeight="1" x14ac:dyDescent="0.2">
      <c r="B47" s="2" t="s">
        <v>50</v>
      </c>
      <c r="C47" s="2" t="s">
        <v>51</v>
      </c>
      <c r="D47" s="2" t="s">
        <v>52</v>
      </c>
      <c r="E47" s="2" t="s">
        <v>53</v>
      </c>
      <c r="F47" s="2" t="s">
        <v>54</v>
      </c>
      <c r="G47" s="2" t="s">
        <v>55</v>
      </c>
      <c r="H47" s="2" t="s">
        <v>56</v>
      </c>
      <c r="I47" s="2" t="s">
        <v>57</v>
      </c>
    </row>
    <row r="48" spans="2:9" x14ac:dyDescent="0.2">
      <c r="B48" s="1" t="s">
        <v>58</v>
      </c>
      <c r="C48" s="18" t="str">
        <f>IF(CNAM!C14="","À renseigner",CNAM!C14)</f>
        <v>Bon</v>
      </c>
      <c r="D48" s="19">
        <f>SUMIFS(CNAM!$G$38:$G$44,CNAM!$E$38:$E$44,2024)</f>
        <v>69799690</v>
      </c>
      <c r="E48" s="19">
        <f>SUMIFS(CNAM!$G$38:$G$44,CNAM!$E$38:$E$44,2025)</f>
        <v>84309706</v>
      </c>
      <c r="F48" s="19">
        <f>SUMIFS(CNAM!$G$38:$G$44,CNAM!$E$38:$E$44,2026)</f>
        <v>84309707</v>
      </c>
      <c r="G48" s="19">
        <f>CNAM!M45</f>
        <v>4500000</v>
      </c>
      <c r="H48" s="19">
        <f>CNAM!G54</f>
        <v>66309707</v>
      </c>
      <c r="I48" s="10" t="s">
        <v>59</v>
      </c>
    </row>
    <row r="49" spans="2:9" x14ac:dyDescent="0.2">
      <c r="B49" s="1" t="s">
        <v>60</v>
      </c>
      <c r="C49" s="18" t="str">
        <f>IF(CNPS!C15="","À renseigner",CNPS!C15)</f>
        <v>À renseigner</v>
      </c>
      <c r="D49" s="19">
        <f>SUMIFS(CNPS!$G$41:$G$44,CNPS!$E$41:$E$44,2024)</f>
        <v>0</v>
      </c>
      <c r="E49" s="19">
        <f>SUMIFS(CNPS!$G$41:$G$44,CNPS!$E$41:$E$44,2025)</f>
        <v>21578849</v>
      </c>
      <c r="F49" s="19">
        <f>SUMIFS(CNPS!$G$41:$G$44,CNPS!$E$41:$E$44,2026)</f>
        <v>0</v>
      </c>
      <c r="G49" s="19">
        <f>CNPS!M45</f>
        <v>0</v>
      </c>
      <c r="H49" s="19">
        <f>CNPS!G54</f>
        <v>81700000</v>
      </c>
      <c r="I49" s="10" t="s">
        <v>61</v>
      </c>
    </row>
    <row r="50" spans="2:9" x14ac:dyDescent="0.2">
      <c r="B50" s="1" t="s">
        <v>62</v>
      </c>
      <c r="C50" s="18" t="str">
        <f>IF(FER!C14="","À renseigner",FER!C14)</f>
        <v>À renseigner</v>
      </c>
      <c r="D50" s="19">
        <f>SUMIFS(FER!$G$34:$G$37,FER!$E$34:$E$37,2024)</f>
        <v>0</v>
      </c>
      <c r="E50" s="19">
        <f>SUMIFS(FER!$G$34:$G$37,FER!$E$34:$E$37,2025)</f>
        <v>0</v>
      </c>
      <c r="F50" s="19">
        <f>SUMIFS(FER!$G$34:$G$37,FER!$E$34:$E$37,2026)</f>
        <v>28766400</v>
      </c>
      <c r="G50" s="19">
        <f>FER!M38</f>
        <v>0</v>
      </c>
      <c r="H50" s="19">
        <f>FER!G47</f>
        <v>4500000</v>
      </c>
      <c r="I50" s="10" t="s">
        <v>63</v>
      </c>
    </row>
    <row r="51" spans="2:9" x14ac:dyDescent="0.2">
      <c r="B51" s="1" t="s">
        <v>64</v>
      </c>
      <c r="C51" s="18" t="str">
        <f>IF(NSIA!C15="","À renseigner",NSIA!C15)</f>
        <v>À renseigner</v>
      </c>
      <c r="D51" s="19">
        <f>SUMIFS(NSIA!$G$43:$G$47,NSIA!$E$43:$E$47,2024)</f>
        <v>1003000</v>
      </c>
      <c r="E51" s="19">
        <f>SUMIFS(NSIA!$G$43:$G$47,NSIA!$E$43:$E$47,2025)</f>
        <v>982940</v>
      </c>
      <c r="F51" s="19">
        <f>SUMIFS(NSIA!$G$43:$G$47,NSIA!$E$43:$E$47,2026)</f>
        <v>1610068</v>
      </c>
      <c r="G51" s="19">
        <f>NSIA!M48</f>
        <v>0</v>
      </c>
      <c r="H51" s="19">
        <f>NSIA!G57</f>
        <v>0</v>
      </c>
      <c r="I51" s="10" t="s">
        <v>65</v>
      </c>
    </row>
    <row r="52" spans="2:9" x14ac:dyDescent="0.2">
      <c r="B52" s="1" t="s">
        <v>66</v>
      </c>
      <c r="C52" s="18" t="str">
        <f>IF('Orange Business'!C14="","À renseigner",'Orange Business'!C14)</f>
        <v>À surveiller</v>
      </c>
      <c r="D52" s="19">
        <f>SUMIFS('Orange Business'!$G$33:$G$36,'Orange Business'!$E$33:$E$36,2024)</f>
        <v>0</v>
      </c>
      <c r="E52" s="19">
        <f>SUMIFS('Orange Business'!$G$33:$G$36,'Orange Business'!$E$33:$E$36,2025)</f>
        <v>0</v>
      </c>
      <c r="F52" s="19">
        <f>SUMIFS('Orange Business'!$G$33:$G$36,'Orange Business'!$E$33:$E$36,2026)</f>
        <v>0</v>
      </c>
      <c r="G52" s="19">
        <f>'Orange Business'!M37</f>
        <v>0</v>
      </c>
      <c r="H52" s="19">
        <f>'Orange Business'!G46</f>
        <v>64135000</v>
      </c>
      <c r="I52" s="10" t="s">
        <v>67</v>
      </c>
    </row>
    <row r="53" spans="2:9" x14ac:dyDescent="0.2">
      <c r="B53" s="1" t="s">
        <v>68</v>
      </c>
      <c r="C53" s="18" t="str">
        <f>IF(NEURONES!C14="","À renseigner",NEURONES!C14)</f>
        <v>À renseigner</v>
      </c>
      <c r="D53" s="19">
        <f>SUMIFS(NEURONES!$G$35:$G$38,NEURONES!$E$35:$E$38,2024)</f>
        <v>0</v>
      </c>
      <c r="E53" s="19">
        <f>SUMIFS(NEURONES!$G$35:$G$38,NEURONES!$E$35:$E$38,2025)</f>
        <v>7383000</v>
      </c>
      <c r="F53" s="19">
        <f>SUMIFS(NEURONES!$G$35:$G$38,NEURONES!$E$35:$E$38,2026)</f>
        <v>0</v>
      </c>
      <c r="G53" s="19">
        <f>NEURONES!M39</f>
        <v>0</v>
      </c>
      <c r="H53" s="19">
        <f>NEURONES!G48</f>
        <v>0</v>
      </c>
      <c r="I53" s="10" t="s">
        <v>47</v>
      </c>
    </row>
    <row r="54" spans="2:9" ht="19.5" customHeight="1" x14ac:dyDescent="0.2">
      <c r="B54" s="4" t="s">
        <v>48</v>
      </c>
      <c r="C54" s="17"/>
      <c r="D54" s="15">
        <f>SUM(D48:D53)</f>
        <v>70802690</v>
      </c>
      <c r="E54" s="15">
        <f>SUM(E48:E53)</f>
        <v>114254495</v>
      </c>
      <c r="F54" s="15">
        <f>SUM(F48:F53)</f>
        <v>114686175</v>
      </c>
      <c r="G54" s="15">
        <f>SUM(G48:G53)</f>
        <v>4500000</v>
      </c>
      <c r="H54" s="15">
        <f>SUM(H48:H53)</f>
        <v>216644707</v>
      </c>
      <c r="I54" s="17"/>
    </row>
    <row r="56" spans="2:9" ht="25.5" customHeight="1" x14ac:dyDescent="0.2">
      <c r="B56" s="39" t="s">
        <v>69</v>
      </c>
      <c r="C56" s="39"/>
      <c r="D56" s="39"/>
      <c r="E56" s="39"/>
      <c r="F56" s="39"/>
      <c r="G56" s="39"/>
      <c r="H56" s="39"/>
      <c r="I56" s="39"/>
    </row>
    <row r="57" spans="2:9" ht="30" customHeight="1" x14ac:dyDescent="0.2">
      <c r="B57" s="2" t="s">
        <v>70</v>
      </c>
      <c r="C57" s="2" t="s">
        <v>34</v>
      </c>
      <c r="D57" s="2" t="s">
        <v>35</v>
      </c>
      <c r="E57" s="2" t="s">
        <v>36</v>
      </c>
      <c r="F57" s="2"/>
      <c r="G57" s="2"/>
      <c r="H57" s="2"/>
    </row>
    <row r="58" spans="2:9" x14ac:dyDescent="0.2">
      <c r="B58" s="1" t="s">
        <v>71</v>
      </c>
      <c r="C58" s="11">
        <f>COUNTIFS('Pipeline global'!$J$9:$J$50,B58)</f>
        <v>18</v>
      </c>
      <c r="D58" s="12">
        <f>SUMIFS('Pipeline global'!$L$9:$L$50,'Pipeline global'!$J$9:$J$50,B58)</f>
        <v>0</v>
      </c>
      <c r="E58" s="12">
        <f>SUMIFS('Pipeline global'!$M$9:$M$50,'Pipeline global'!$J$9:$J$50,B58)</f>
        <v>0</v>
      </c>
      <c r="F58" s="5"/>
      <c r="G58" s="5"/>
      <c r="H58" s="5"/>
    </row>
    <row r="59" spans="2:9" x14ac:dyDescent="0.2">
      <c r="B59" s="1" t="s">
        <v>72</v>
      </c>
      <c r="C59" s="11">
        <f>COUNTIFS('Pipeline global'!$J$9:$J$50,B59)</f>
        <v>4</v>
      </c>
      <c r="D59" s="12">
        <f>SUMIFS('Pipeline global'!$L$9:$L$50,'Pipeline global'!$J$9:$J$50,B59)</f>
        <v>0</v>
      </c>
      <c r="E59" s="12">
        <f>SUMIFS('Pipeline global'!$M$9:$M$50,'Pipeline global'!$J$9:$J$50,B59)</f>
        <v>0</v>
      </c>
      <c r="F59" s="5"/>
      <c r="G59" s="5"/>
      <c r="H59" s="5"/>
    </row>
    <row r="60" spans="2:9" x14ac:dyDescent="0.2">
      <c r="B60" s="1" t="s">
        <v>73</v>
      </c>
      <c r="C60" s="11">
        <f>COUNTIFS('Pipeline global'!$J$9:$J$50,B60)</f>
        <v>0</v>
      </c>
      <c r="D60" s="12">
        <f>SUMIFS('Pipeline global'!$L$9:$L$50,'Pipeline global'!$J$9:$J$50,B60)</f>
        <v>0</v>
      </c>
      <c r="E60" s="12">
        <f>SUMIFS('Pipeline global'!$M$9:$M$50,'Pipeline global'!$J$9:$J$50,B60)</f>
        <v>0</v>
      </c>
      <c r="F60" s="5"/>
      <c r="G60" s="5"/>
      <c r="H60" s="5"/>
    </row>
    <row r="61" spans="2:9" x14ac:dyDescent="0.2">
      <c r="B61" s="1" t="s">
        <v>74</v>
      </c>
      <c r="C61" s="11">
        <f>COUNTIFS('Pipeline global'!$J$9:$J$50,B61)</f>
        <v>3</v>
      </c>
      <c r="D61" s="12">
        <f>SUMIFS('Pipeline global'!$L$9:$L$50,'Pipeline global'!$J$9:$J$50,B61)</f>
        <v>138309707</v>
      </c>
      <c r="E61" s="12">
        <f>SUMIFS('Pipeline global'!$M$9:$M$50,'Pipeline global'!$J$9:$J$50,B61)</f>
        <v>0</v>
      </c>
      <c r="F61" s="5"/>
      <c r="G61" s="5"/>
      <c r="H61" s="5"/>
    </row>
    <row r="62" spans="2:9" x14ac:dyDescent="0.2">
      <c r="B62" s="1" t="s">
        <v>75</v>
      </c>
      <c r="C62" s="11">
        <f>COUNTIFS('Pipeline global'!$J$9:$J$50,B62)</f>
        <v>1</v>
      </c>
      <c r="D62" s="12">
        <f>SUMIFS('Pipeline global'!$L$9:$L$50,'Pipeline global'!$J$9:$J$50,B62)</f>
        <v>59000000</v>
      </c>
      <c r="E62" s="12">
        <f>SUMIFS('Pipeline global'!$M$9:$M$50,'Pipeline global'!$J$9:$J$50,B62)</f>
        <v>0</v>
      </c>
      <c r="F62" s="5"/>
      <c r="G62" s="5"/>
      <c r="H62" s="5"/>
    </row>
    <row r="63" spans="2:9" x14ac:dyDescent="0.2">
      <c r="B63" s="1" t="s">
        <v>76</v>
      </c>
      <c r="C63" s="11">
        <f>COUNTIFS('Pipeline global'!$J$9:$J$50,B63)</f>
        <v>5</v>
      </c>
      <c r="D63" s="12">
        <f>SUMIFS('Pipeline global'!$L$9:$L$50,'Pipeline global'!$J$9:$J$50,B63)</f>
        <v>127335000</v>
      </c>
      <c r="E63" s="12">
        <f>SUMIFS('Pipeline global'!$M$9:$M$50,'Pipeline global'!$J$9:$J$50,B63)</f>
        <v>42531000</v>
      </c>
      <c r="F63" s="5"/>
      <c r="G63" s="5"/>
      <c r="H63" s="5"/>
    </row>
    <row r="64" spans="2:9" x14ac:dyDescent="0.2">
      <c r="B64" s="1" t="s">
        <v>77</v>
      </c>
      <c r="C64" s="11">
        <f>COUNTIFS('Pipeline global'!$J$9:$J$50,B64)</f>
        <v>5</v>
      </c>
      <c r="D64" s="12">
        <f>SUMIFS('Pipeline global'!$L$9:$L$50,'Pipeline global'!$J$9:$J$50,B64)</f>
        <v>114686175</v>
      </c>
      <c r="E64" s="12">
        <f>SUMIFS('Pipeline global'!$M$9:$M$50,'Pipeline global'!$J$9:$J$50,B64)</f>
        <v>114686175</v>
      </c>
      <c r="F64" s="5"/>
      <c r="G64" s="5"/>
      <c r="H64" s="5"/>
    </row>
    <row r="65" spans="2:9" x14ac:dyDescent="0.2">
      <c r="B65" s="1" t="s">
        <v>78</v>
      </c>
      <c r="C65" s="11">
        <f>COUNTIFS('Pipeline global'!$J$9:$J$50,B65)</f>
        <v>0</v>
      </c>
      <c r="D65" s="12">
        <f>SUMIFS('Pipeline global'!$L$9:$L$50,'Pipeline global'!$J$9:$J$50,B65)</f>
        <v>0</v>
      </c>
      <c r="E65" s="12">
        <f>SUMIFS('Pipeline global'!$M$9:$M$50,'Pipeline global'!$J$9:$J$50,B65)</f>
        <v>0</v>
      </c>
      <c r="F65" s="5"/>
      <c r="G65" s="5"/>
      <c r="H65" s="5"/>
    </row>
    <row r="66" spans="2:9" x14ac:dyDescent="0.2">
      <c r="B66" s="1" t="s">
        <v>79</v>
      </c>
      <c r="C66" s="11">
        <f>COUNTIFS('Pipeline global'!$J$9:$J$50,B66)</f>
        <v>1</v>
      </c>
      <c r="D66" s="12">
        <f>SUMIFS('Pipeline global'!$L$9:$L$50,'Pipeline global'!$J$9:$J$50,B66)</f>
        <v>14000000</v>
      </c>
      <c r="E66" s="12">
        <f>SUMIFS('Pipeline global'!$M$9:$M$50,'Pipeline global'!$J$9:$J$50,B66)</f>
        <v>14000000</v>
      </c>
      <c r="F66" s="5"/>
      <c r="G66" s="5"/>
      <c r="H66" s="5"/>
    </row>
    <row r="67" spans="2:9" ht="19.5" customHeight="1" x14ac:dyDescent="0.2">
      <c r="B67" s="4" t="s">
        <v>48</v>
      </c>
      <c r="C67" s="14">
        <f>SUM(C58:C66)</f>
        <v>37</v>
      </c>
      <c r="D67" s="15">
        <f>SUM(D58:D66)</f>
        <v>453330882</v>
      </c>
      <c r="E67" s="15">
        <f>SUM(E58:E66)</f>
        <v>171217175</v>
      </c>
      <c r="F67" s="17"/>
      <c r="G67" s="17"/>
      <c r="H67" s="17"/>
      <c r="I67" s="17"/>
    </row>
    <row r="69" spans="2:9" ht="25.5" customHeight="1" x14ac:dyDescent="0.2">
      <c r="B69" s="39" t="s">
        <v>80</v>
      </c>
      <c r="C69" s="39"/>
      <c r="D69" s="39"/>
      <c r="E69" s="39"/>
      <c r="F69" s="39"/>
      <c r="G69" s="39"/>
      <c r="H69" s="39"/>
      <c r="I69" s="39"/>
    </row>
    <row r="70" spans="2:9" ht="30" customHeight="1" x14ac:dyDescent="0.2">
      <c r="B70" s="2" t="s">
        <v>81</v>
      </c>
      <c r="C70" s="2" t="s">
        <v>34</v>
      </c>
      <c r="D70" s="2" t="s">
        <v>35</v>
      </c>
      <c r="E70" s="2" t="s">
        <v>36</v>
      </c>
      <c r="F70" s="2" t="s">
        <v>82</v>
      </c>
      <c r="G70" s="2"/>
      <c r="H70" s="2"/>
    </row>
    <row r="71" spans="2:9" x14ac:dyDescent="0.2">
      <c r="B71" s="1" t="s">
        <v>83</v>
      </c>
      <c r="C71" s="11">
        <f>COUNTIFS('Pipeline global'!$H$9:$H$50,B71)</f>
        <v>23</v>
      </c>
      <c r="D71" s="12">
        <f>SUMIFS('Pipeline global'!$L$9:$L$50,'Pipeline global'!$H$9:$H$50,B71)</f>
        <v>267195882</v>
      </c>
      <c r="E71" s="12">
        <f>SUMIFS('Pipeline global'!$M$9:$M$50,'Pipeline global'!$H$9:$H$50,B71)</f>
        <v>118736175</v>
      </c>
      <c r="F71" s="11">
        <f>COUNTIFS('Pipeline global'!$H$9:$H$50,B71,'Pipeline global'!$P$9:$P$50,"P1")</f>
        <v>5</v>
      </c>
      <c r="G71" s="5"/>
      <c r="H71" s="5"/>
    </row>
    <row r="72" spans="2:9" x14ac:dyDescent="0.2">
      <c r="B72" s="1" t="s">
        <v>84</v>
      </c>
      <c r="C72" s="11">
        <f>COUNTIFS('Pipeline global'!$H$9:$H$50,B72)</f>
        <v>1</v>
      </c>
      <c r="D72" s="12">
        <f>SUMIFS('Pipeline global'!$L$9:$L$50,'Pipeline global'!$H$9:$H$50,B72)</f>
        <v>0</v>
      </c>
      <c r="E72" s="12">
        <f>SUMIFS('Pipeline global'!$M$9:$M$50,'Pipeline global'!$H$9:$H$50,B72)</f>
        <v>0</v>
      </c>
      <c r="F72" s="11">
        <f>COUNTIFS('Pipeline global'!$H$9:$H$50,B72,'Pipeline global'!$P$9:$P$50,"P1")</f>
        <v>0</v>
      </c>
      <c r="G72" s="5"/>
      <c r="H72" s="5"/>
    </row>
    <row r="73" spans="2:9" x14ac:dyDescent="0.2">
      <c r="B73" s="1" t="s">
        <v>85</v>
      </c>
      <c r="C73" s="11">
        <f>COUNTIFS('Pipeline global'!$H$9:$H$50,B73)</f>
        <v>2</v>
      </c>
      <c r="D73" s="12">
        <f>SUMIFS('Pipeline global'!$L$9:$L$50,'Pipeline global'!$H$9:$H$50,B73)</f>
        <v>0</v>
      </c>
      <c r="E73" s="12">
        <f>SUMIFS('Pipeline global'!$M$9:$M$50,'Pipeline global'!$H$9:$H$50,B73)</f>
        <v>0</v>
      </c>
      <c r="F73" s="11">
        <f>COUNTIFS('Pipeline global'!$H$9:$H$50,B73,'Pipeline global'!$P$9:$P$50,"P1")</f>
        <v>0</v>
      </c>
      <c r="G73" s="5"/>
      <c r="H73" s="5"/>
    </row>
    <row r="74" spans="2:9" x14ac:dyDescent="0.2">
      <c r="B74" s="1" t="s">
        <v>86</v>
      </c>
      <c r="C74" s="11">
        <f>COUNTIFS('Pipeline global'!$H$9:$H$50,B74)</f>
        <v>11</v>
      </c>
      <c r="D74" s="12">
        <f>SUMIFS('Pipeline global'!$L$9:$L$50,'Pipeline global'!$H$9:$H$50,B74)</f>
        <v>186135000</v>
      </c>
      <c r="E74" s="12">
        <f>SUMIFS('Pipeline global'!$M$9:$M$50,'Pipeline global'!$H$9:$H$50,B74)</f>
        <v>52481000</v>
      </c>
      <c r="F74" s="11">
        <f>COUNTIFS('Pipeline global'!$H$9:$H$50,B74,'Pipeline global'!$P$9:$P$50,"P1")</f>
        <v>5</v>
      </c>
      <c r="G74" s="5"/>
      <c r="H74" s="5"/>
    </row>
    <row r="75" spans="2:9" ht="19.5" customHeight="1" x14ac:dyDescent="0.2">
      <c r="B75" s="4" t="s">
        <v>48</v>
      </c>
      <c r="C75" s="14">
        <f>SUM(C71:C74)</f>
        <v>37</v>
      </c>
      <c r="D75" s="15">
        <f>SUM(D71:D74)</f>
        <v>453330882</v>
      </c>
      <c r="E75" s="15">
        <f>SUM(E71:E74)</f>
        <v>171217175</v>
      </c>
      <c r="F75" s="14">
        <f>SUM(F71:F74)</f>
        <v>10</v>
      </c>
      <c r="G75" s="17"/>
      <c r="H75" s="17"/>
      <c r="I75" s="17"/>
    </row>
    <row r="77" spans="2:9" ht="25.5" customHeight="1" x14ac:dyDescent="0.2">
      <c r="B77" s="39" t="s">
        <v>87</v>
      </c>
      <c r="C77" s="39"/>
      <c r="D77" s="39"/>
      <c r="E77" s="39"/>
      <c r="F77" s="39"/>
      <c r="G77" s="39"/>
      <c r="H77" s="39"/>
      <c r="I77" s="39"/>
    </row>
    <row r="78" spans="2:9" ht="15" customHeight="1" x14ac:dyDescent="0.2">
      <c r="B78" s="10" t="s">
        <v>41</v>
      </c>
      <c r="C78" s="38" t="s">
        <v>88</v>
      </c>
      <c r="D78" s="38"/>
      <c r="E78" s="38"/>
      <c r="F78" s="38"/>
      <c r="G78" s="38"/>
      <c r="H78" s="38"/>
      <c r="I78" s="38"/>
    </row>
    <row r="79" spans="2:9" ht="15" customHeight="1" x14ac:dyDescent="0.2">
      <c r="B79" s="10" t="s">
        <v>23</v>
      </c>
      <c r="C79" s="38" t="s">
        <v>89</v>
      </c>
      <c r="D79" s="38"/>
      <c r="E79" s="38"/>
      <c r="F79" s="38"/>
      <c r="G79" s="38"/>
      <c r="H79" s="38"/>
      <c r="I79" s="38"/>
    </row>
    <row r="80" spans="2:9" ht="15" customHeight="1" x14ac:dyDescent="0.2">
      <c r="B80" s="10" t="s">
        <v>59</v>
      </c>
      <c r="C80" s="38" t="s">
        <v>90</v>
      </c>
      <c r="D80" s="38"/>
      <c r="E80" s="38"/>
      <c r="F80" s="38"/>
      <c r="G80" s="38"/>
      <c r="H80" s="38"/>
      <c r="I80" s="38"/>
    </row>
    <row r="81" spans="2:9" ht="15" customHeight="1" x14ac:dyDescent="0.2">
      <c r="B81" s="10" t="s">
        <v>61</v>
      </c>
      <c r="C81" s="38" t="s">
        <v>91</v>
      </c>
      <c r="D81" s="38"/>
      <c r="E81" s="38"/>
      <c r="F81" s="38"/>
      <c r="G81" s="38"/>
      <c r="H81" s="38"/>
      <c r="I81" s="38"/>
    </row>
    <row r="82" spans="2:9" ht="15" customHeight="1" x14ac:dyDescent="0.2">
      <c r="B82" s="10" t="s">
        <v>63</v>
      </c>
      <c r="C82" s="38" t="s">
        <v>91</v>
      </c>
      <c r="D82" s="38"/>
      <c r="E82" s="38"/>
      <c r="F82" s="38"/>
      <c r="G82" s="38"/>
      <c r="H82" s="38"/>
      <c r="I82" s="38"/>
    </row>
    <row r="83" spans="2:9" ht="15" customHeight="1" x14ac:dyDescent="0.2">
      <c r="B83" s="10" t="s">
        <v>67</v>
      </c>
      <c r="C83" s="38" t="s">
        <v>92</v>
      </c>
      <c r="D83" s="38"/>
      <c r="E83" s="38"/>
      <c r="F83" s="38"/>
      <c r="G83" s="38"/>
      <c r="H83" s="38"/>
      <c r="I83" s="38"/>
    </row>
    <row r="84" spans="2:9" ht="15" customHeight="1" x14ac:dyDescent="0.2">
      <c r="B84" s="10" t="s">
        <v>65</v>
      </c>
      <c r="C84" s="38" t="s">
        <v>91</v>
      </c>
      <c r="D84" s="38"/>
      <c r="E84" s="38"/>
      <c r="F84" s="38"/>
      <c r="G84" s="38"/>
      <c r="H84" s="38"/>
      <c r="I84" s="38"/>
    </row>
    <row r="85" spans="2:9" ht="15" customHeight="1" x14ac:dyDescent="0.2">
      <c r="B85" s="10" t="s">
        <v>47</v>
      </c>
      <c r="C85" s="38" t="s">
        <v>93</v>
      </c>
      <c r="D85" s="38"/>
      <c r="E85" s="38"/>
      <c r="F85" s="38"/>
      <c r="G85" s="38"/>
      <c r="H85" s="38"/>
      <c r="I85" s="38"/>
    </row>
    <row r="86" spans="2:9" ht="15" customHeight="1" x14ac:dyDescent="0.2">
      <c r="B86" s="10" t="s">
        <v>45</v>
      </c>
      <c r="C86" s="38" t="s">
        <v>94</v>
      </c>
      <c r="D86" s="38"/>
      <c r="E86" s="38"/>
      <c r="F86" s="38"/>
      <c r="G86" s="38"/>
      <c r="H86" s="38"/>
      <c r="I86" s="38"/>
    </row>
    <row r="87" spans="2:9" ht="15" customHeight="1" x14ac:dyDescent="0.2">
      <c r="B87" s="10" t="s">
        <v>43</v>
      </c>
      <c r="C87" s="38" t="s">
        <v>95</v>
      </c>
      <c r="D87" s="38"/>
      <c r="E87" s="38"/>
      <c r="F87" s="38"/>
      <c r="G87" s="38"/>
      <c r="H87" s="38"/>
      <c r="I87" s="38"/>
    </row>
    <row r="88" spans="2:9" ht="15" customHeight="1" x14ac:dyDescent="0.2">
      <c r="B88" s="10" t="s">
        <v>96</v>
      </c>
      <c r="C88" s="38" t="s">
        <v>97</v>
      </c>
      <c r="D88" s="38"/>
      <c r="E88" s="38"/>
      <c r="F88" s="38"/>
      <c r="G88" s="38"/>
      <c r="H88" s="38"/>
      <c r="I88" s="38"/>
    </row>
    <row r="89" spans="2:9" ht="15" customHeight="1" x14ac:dyDescent="0.2">
      <c r="B89" s="10" t="s">
        <v>31</v>
      </c>
      <c r="C89" s="38" t="s">
        <v>98</v>
      </c>
      <c r="D89" s="38"/>
      <c r="E89" s="38"/>
      <c r="F89" s="38"/>
      <c r="G89" s="38"/>
      <c r="H89" s="38"/>
      <c r="I89" s="38"/>
    </row>
  </sheetData>
  <mergeCells count="23">
    <mergeCell ref="B2:I2"/>
    <mergeCell ref="B3:I3"/>
    <mergeCell ref="B4:I4"/>
    <mergeCell ref="B6:I6"/>
    <mergeCell ref="B18:I18"/>
    <mergeCell ref="B29:I29"/>
    <mergeCell ref="B38:I38"/>
    <mergeCell ref="B46:I46"/>
    <mergeCell ref="B56:I56"/>
    <mergeCell ref="B69:I69"/>
    <mergeCell ref="B77:I77"/>
    <mergeCell ref="C78:I78"/>
    <mergeCell ref="C79:I79"/>
    <mergeCell ref="C80:I80"/>
    <mergeCell ref="C81:I81"/>
    <mergeCell ref="C87:I87"/>
    <mergeCell ref="C88:I88"/>
    <mergeCell ref="C89:I89"/>
    <mergeCell ref="C82:I82"/>
    <mergeCell ref="C83:I83"/>
    <mergeCell ref="C84:I84"/>
    <mergeCell ref="C85:I85"/>
    <mergeCell ref="C86:I86"/>
  </mergeCells>
  <conditionalFormatting sqref="C48:C53">
    <cfRule type="expression" dxfId="37" priority="2">
      <formula>$C48="À risque"</formula>
    </cfRule>
    <cfRule type="expression" dxfId="36" priority="3">
      <formula>$C48="À surveiller"</formula>
    </cfRule>
    <cfRule type="expression" dxfId="35" priority="4">
      <formula>$C48="Bon"</formula>
    </cfRule>
  </conditionalFormatting>
  <hyperlinks>
    <hyperlink ref="B27" r:id="rId1" location="'Renouvellements'!A1" xr:uid="{00000000-0004-0000-0000-000000000000}"/>
    <hyperlink ref="B36" r:id="rId2" location="'Contacts'!A1" xr:uid="{00000000-0004-0000-0000-000001000000}"/>
    <hyperlink ref="H40" r:id="rId3" location="'Pipeline%20global'!A1" xr:uid="{00000000-0004-0000-0000-000002000000}"/>
    <hyperlink ref="H41" r:id="rId4" location="'Solutions%20&amp;%20prospects'!A1" xr:uid="{00000000-0004-0000-0000-000003000000}"/>
    <hyperlink ref="H42" r:id="rId5" location="'Appels%20d’offres'!A1" xr:uid="{00000000-0004-0000-0000-000004000000}"/>
    <hyperlink ref="H43" r:id="rId6" location="'NEURONES'!A1" xr:uid="{00000000-0004-0000-0000-000005000000}"/>
    <hyperlink ref="I48" r:id="rId7" location="'CNAM'!A1" xr:uid="{00000000-0004-0000-0000-000006000000}"/>
    <hyperlink ref="I49" r:id="rId8" location="'CNPS'!A1" xr:uid="{00000000-0004-0000-0000-000007000000}"/>
    <hyperlink ref="I50" r:id="rId9" location="'FER'!A1" xr:uid="{00000000-0004-0000-0000-000008000000}"/>
    <hyperlink ref="I51" r:id="rId10" location="'NSIA'!A1" xr:uid="{00000000-0004-0000-0000-000009000000}"/>
    <hyperlink ref="I52" r:id="rId11" location="'Orange%20Business'!A1" xr:uid="{00000000-0004-0000-0000-00000A000000}"/>
    <hyperlink ref="I53" r:id="rId12" location="'NEURONES'!A1" xr:uid="{00000000-0004-0000-0000-00000B000000}"/>
    <hyperlink ref="B78" r:id="rId13" location="'Pipeline%20global'!A1" xr:uid="{00000000-0004-0000-0000-00000C000000}"/>
    <hyperlink ref="B79" r:id="rId14" location="'Renouvellements'!A1" xr:uid="{00000000-0004-0000-0000-00000D000000}"/>
    <hyperlink ref="B80" r:id="rId15" location="'CNAM'!A1" xr:uid="{00000000-0004-0000-0000-00000E000000}"/>
    <hyperlink ref="B81" r:id="rId16" location="'CNPS'!A1" xr:uid="{00000000-0004-0000-0000-00000F000000}"/>
    <hyperlink ref="B82" r:id="rId17" location="'FER'!A1" xr:uid="{00000000-0004-0000-0000-000010000000}"/>
    <hyperlink ref="B83" r:id="rId18" location="'Orange%20Business'!A1" xr:uid="{00000000-0004-0000-0000-000011000000}"/>
    <hyperlink ref="B84" r:id="rId19" location="'NSIA'!A1" xr:uid="{00000000-0004-0000-0000-000012000000}"/>
    <hyperlink ref="B85" r:id="rId20" location="'NEURONES'!A1" xr:uid="{00000000-0004-0000-0000-000013000000}"/>
    <hyperlink ref="B86" r:id="rId21" location="'Appels%20d’offres'!A1" xr:uid="{00000000-0004-0000-0000-000014000000}"/>
    <hyperlink ref="B87" r:id="rId22" location="'Solutions%20&amp;%20prospects'!A1" xr:uid="{00000000-0004-0000-0000-000015000000}"/>
    <hyperlink ref="B88" r:id="rId23" location="'Plan%20d’actions'!A1" xr:uid="{00000000-0004-0000-0000-000016000000}"/>
    <hyperlink ref="B89" r:id="rId24" location="'Contacts'!A1" xr:uid="{00000000-0004-0000-0000-000017000000}"/>
  </hyperlink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17A65"/>
    <pageSetUpPr fitToPage="1"/>
  </sheetPr>
  <dimension ref="B2:V51"/>
  <sheetViews>
    <sheetView showGridLines="0" zoomScale="181" zoomScaleNormal="181" workbookViewId="0">
      <pane xSplit="4" ySplit="8" topLeftCell="E9" activePane="bottomRight" state="frozen"/>
      <selection pane="topRight" activeCell="E1" sqref="E1"/>
      <selection pane="bottomLeft" activeCell="A9" sqref="A9"/>
      <selection pane="bottomRight"/>
    </sheetView>
  </sheetViews>
  <sheetFormatPr baseColWidth="10" defaultColWidth="8.6640625" defaultRowHeight="15" x14ac:dyDescent="0.2"/>
  <cols>
    <col min="1" max="1" width="3" customWidth="1"/>
    <col min="2" max="2" width="6" customWidth="1"/>
    <col min="3" max="3" width="15" customWidth="1"/>
    <col min="4" max="4" width="28" customWidth="1"/>
    <col min="5" max="5" width="26" customWidth="1"/>
    <col min="6" max="6" width="24" customWidth="1"/>
    <col min="7" max="7" width="20" customWidth="1"/>
    <col min="8" max="8" width="15" customWidth="1"/>
    <col min="9" max="9" width="12" customWidth="1"/>
    <col min="10" max="10" width="18" customWidth="1"/>
    <col min="11" max="11" width="9" customWidth="1"/>
    <col min="12" max="14" width="15" customWidth="1"/>
    <col min="15" max="15" width="11" customWidth="1"/>
    <col min="16" max="16" width="9" customWidth="1"/>
    <col min="17" max="17" width="38" customWidth="1"/>
    <col min="18" max="18" width="12" customWidth="1"/>
    <col min="19" max="19" width="48" customWidth="1"/>
    <col min="20" max="20" width="30" customWidth="1"/>
    <col min="21" max="21" width="16" customWidth="1"/>
    <col min="22" max="22" width="46" customWidth="1"/>
  </cols>
  <sheetData>
    <row r="2" spans="2:22" ht="34.5" customHeight="1" x14ac:dyDescent="0.2">
      <c r="B2" s="40" t="s">
        <v>99</v>
      </c>
      <c r="C2" s="40"/>
      <c r="D2" s="40"/>
      <c r="E2" s="40"/>
      <c r="F2" s="40"/>
      <c r="G2" s="40"/>
      <c r="H2" s="40"/>
      <c r="I2" s="40"/>
      <c r="J2" s="40"/>
      <c r="K2" s="40"/>
      <c r="L2" s="40"/>
      <c r="M2" s="40"/>
      <c r="N2" s="40"/>
      <c r="O2" s="40"/>
      <c r="P2" s="40"/>
      <c r="Q2" s="40"/>
      <c r="R2" s="40"/>
      <c r="S2" s="40"/>
      <c r="T2" s="40"/>
      <c r="U2" s="40"/>
      <c r="V2" s="40"/>
    </row>
    <row r="3" spans="2:22" ht="19.5" customHeight="1" x14ac:dyDescent="0.2">
      <c r="B3" s="41" t="s">
        <v>100</v>
      </c>
      <c r="C3" s="41"/>
      <c r="D3" s="41"/>
      <c r="E3" s="41"/>
      <c r="F3" s="41"/>
      <c r="G3" s="41"/>
      <c r="H3" s="41"/>
      <c r="I3" s="41"/>
      <c r="J3" s="41"/>
      <c r="K3" s="41"/>
      <c r="L3" s="41"/>
      <c r="M3" s="41"/>
      <c r="N3" s="41"/>
      <c r="O3" s="41"/>
      <c r="P3" s="41"/>
      <c r="Q3" s="41"/>
      <c r="R3" s="41"/>
      <c r="S3" s="41"/>
      <c r="T3" s="41"/>
      <c r="U3" s="41"/>
      <c r="V3" s="41"/>
    </row>
    <row r="4" spans="2:22" ht="18" customHeight="1" x14ac:dyDescent="0.2">
      <c r="B4" s="41" t="s">
        <v>101</v>
      </c>
      <c r="C4" s="41"/>
      <c r="D4" s="41"/>
      <c r="E4" s="41"/>
      <c r="F4" s="41"/>
      <c r="G4" s="41"/>
      <c r="H4" s="41"/>
      <c r="I4" s="41"/>
      <c r="J4" s="41"/>
      <c r="K4" s="41"/>
      <c r="L4" s="41"/>
      <c r="M4" s="41"/>
      <c r="N4" s="41"/>
      <c r="O4" s="41"/>
      <c r="P4" s="41"/>
      <c r="Q4" s="41"/>
      <c r="R4" s="41"/>
      <c r="S4" s="41"/>
      <c r="T4" s="41"/>
      <c r="U4" s="41"/>
      <c r="V4" s="41"/>
    </row>
    <row r="5" spans="2:22" x14ac:dyDescent="0.2">
      <c r="B5" s="20" t="s">
        <v>102</v>
      </c>
    </row>
    <row r="7" spans="2:22" ht="25.5" customHeight="1" x14ac:dyDescent="0.2">
      <c r="B7" s="39" t="s">
        <v>103</v>
      </c>
      <c r="C7" s="39"/>
      <c r="D7" s="39"/>
      <c r="E7" s="39"/>
      <c r="F7" s="39"/>
      <c r="G7" s="39"/>
      <c r="H7" s="39"/>
      <c r="I7" s="39"/>
      <c r="J7" s="39"/>
      <c r="K7" s="39"/>
      <c r="L7" s="39"/>
      <c r="M7" s="39"/>
      <c r="N7" s="39"/>
      <c r="O7" s="39"/>
      <c r="P7" s="39"/>
      <c r="Q7" s="39"/>
      <c r="R7" s="39"/>
      <c r="S7" s="39"/>
      <c r="T7" s="39"/>
      <c r="U7" s="39"/>
      <c r="V7" s="39"/>
    </row>
    <row r="8" spans="2:22" ht="30" customHeight="1" x14ac:dyDescent="0.2">
      <c r="B8" s="2" t="s">
        <v>104</v>
      </c>
      <c r="C8" s="2" t="s">
        <v>33</v>
      </c>
      <c r="D8" s="2" t="s">
        <v>105</v>
      </c>
      <c r="E8" s="2" t="s">
        <v>106</v>
      </c>
      <c r="F8" s="2" t="s">
        <v>107</v>
      </c>
      <c r="G8" s="2" t="s">
        <v>108</v>
      </c>
      <c r="H8" s="2" t="s">
        <v>81</v>
      </c>
      <c r="I8" s="2" t="s">
        <v>109</v>
      </c>
      <c r="J8" s="2" t="s">
        <v>70</v>
      </c>
      <c r="K8" s="2" t="s">
        <v>110</v>
      </c>
      <c r="L8" s="2" t="s">
        <v>111</v>
      </c>
      <c r="M8" s="2" t="s">
        <v>36</v>
      </c>
      <c r="N8" s="2" t="s">
        <v>112</v>
      </c>
      <c r="O8" s="2" t="s">
        <v>38</v>
      </c>
      <c r="P8" s="2" t="s">
        <v>113</v>
      </c>
      <c r="Q8" s="2" t="s">
        <v>114</v>
      </c>
      <c r="R8" s="2" t="s">
        <v>115</v>
      </c>
      <c r="S8" s="2" t="s">
        <v>116</v>
      </c>
      <c r="T8" s="2" t="s">
        <v>117</v>
      </c>
      <c r="U8" s="2" t="s">
        <v>118</v>
      </c>
      <c r="V8" s="2" t="s">
        <v>119</v>
      </c>
    </row>
    <row r="9" spans="2:22" ht="63.75" customHeight="1" x14ac:dyDescent="0.2">
      <c r="B9" s="21">
        <v>1</v>
      </c>
      <c r="C9" s="21" t="s">
        <v>40</v>
      </c>
      <c r="D9" s="1" t="s">
        <v>120</v>
      </c>
      <c r="E9" s="5" t="s">
        <v>121</v>
      </c>
      <c r="F9" s="5" t="s">
        <v>122</v>
      </c>
      <c r="G9" s="5" t="s">
        <v>123</v>
      </c>
      <c r="H9" s="21" t="s">
        <v>86</v>
      </c>
      <c r="I9" s="21"/>
      <c r="J9" s="21" t="s">
        <v>79</v>
      </c>
      <c r="K9" s="22">
        <v>1</v>
      </c>
      <c r="L9" s="12">
        <v>14000000</v>
      </c>
      <c r="M9" s="12">
        <f t="shared" ref="M9:M50" si="0">IF(OR(L9="",K9=""),"",L9*K9)</f>
        <v>14000000</v>
      </c>
      <c r="N9" s="12"/>
      <c r="O9" s="23" t="str">
        <f t="shared" ref="O9:O45" si="1">IF(OR(L9="",N9=""),"",IFERROR(N9/L9,""))</f>
        <v/>
      </c>
      <c r="P9" s="21"/>
      <c r="Q9" s="5" t="s">
        <v>124</v>
      </c>
      <c r="R9" s="24"/>
      <c r="S9" s="5" t="s">
        <v>125</v>
      </c>
      <c r="T9" s="5" t="s">
        <v>126</v>
      </c>
      <c r="U9" s="21"/>
      <c r="V9" s="25"/>
    </row>
    <row r="10" spans="2:22" ht="63.75" customHeight="1" x14ac:dyDescent="0.2">
      <c r="B10" s="21">
        <v>2</v>
      </c>
      <c r="C10" s="21" t="s">
        <v>40</v>
      </c>
      <c r="D10" s="1" t="s">
        <v>127</v>
      </c>
      <c r="E10" s="5" t="s">
        <v>128</v>
      </c>
      <c r="F10" s="5" t="s">
        <v>129</v>
      </c>
      <c r="G10" s="5" t="s">
        <v>130</v>
      </c>
      <c r="H10" s="21" t="s">
        <v>86</v>
      </c>
      <c r="I10" s="21" t="s">
        <v>131</v>
      </c>
      <c r="J10" s="21" t="s">
        <v>76</v>
      </c>
      <c r="K10" s="22">
        <f>IF('Orange Business'!H42="","",'Orange Business'!H42)</f>
        <v>0.6</v>
      </c>
      <c r="L10" s="19">
        <f>IF('Orange Business'!G42="","",'Orange Business'!G42)</f>
        <v>41135000</v>
      </c>
      <c r="M10" s="12">
        <f t="shared" si="0"/>
        <v>24681000</v>
      </c>
      <c r="N10" s="12"/>
      <c r="O10" s="23" t="str">
        <f t="shared" si="1"/>
        <v/>
      </c>
      <c r="P10" s="21" t="s">
        <v>132</v>
      </c>
      <c r="Q10" s="5" t="s">
        <v>133</v>
      </c>
      <c r="R10" s="24"/>
      <c r="S10" s="5" t="s">
        <v>134</v>
      </c>
      <c r="T10" s="5" t="s">
        <v>135</v>
      </c>
      <c r="U10" s="26" t="s">
        <v>67</v>
      </c>
      <c r="V10" s="25"/>
    </row>
    <row r="11" spans="2:22" ht="63.75" customHeight="1" x14ac:dyDescent="0.2">
      <c r="B11" s="21">
        <v>3</v>
      </c>
      <c r="C11" s="21" t="s">
        <v>40</v>
      </c>
      <c r="D11" s="1" t="s">
        <v>136</v>
      </c>
      <c r="E11" s="5" t="s">
        <v>137</v>
      </c>
      <c r="F11" s="5" t="s">
        <v>138</v>
      </c>
      <c r="G11" s="5" t="s">
        <v>130</v>
      </c>
      <c r="H11" s="21" t="s">
        <v>86</v>
      </c>
      <c r="I11" s="21" t="s">
        <v>131</v>
      </c>
      <c r="J11" s="21" t="s">
        <v>76</v>
      </c>
      <c r="K11" s="22">
        <f>IF('Orange Business'!H43="","",'Orange Business'!H43)</f>
        <v>0.6</v>
      </c>
      <c r="L11" s="19">
        <f>IF('Orange Business'!G43="","",'Orange Business'!G43)</f>
        <v>23000000</v>
      </c>
      <c r="M11" s="12">
        <f t="shared" si="0"/>
        <v>13800000</v>
      </c>
      <c r="N11" s="12"/>
      <c r="O11" s="23" t="str">
        <f t="shared" si="1"/>
        <v/>
      </c>
      <c r="P11" s="21" t="s">
        <v>132</v>
      </c>
      <c r="Q11" s="5" t="s">
        <v>139</v>
      </c>
      <c r="R11" s="24"/>
      <c r="S11" s="5" t="s">
        <v>140</v>
      </c>
      <c r="T11" s="5" t="s">
        <v>141</v>
      </c>
      <c r="U11" s="26" t="s">
        <v>67</v>
      </c>
      <c r="V11" s="25"/>
    </row>
    <row r="12" spans="2:22" ht="63.75" customHeight="1" x14ac:dyDescent="0.2">
      <c r="B12" s="21">
        <v>4</v>
      </c>
      <c r="C12" s="21" t="s">
        <v>42</v>
      </c>
      <c r="D12" s="1" t="s">
        <v>142</v>
      </c>
      <c r="E12" s="3" t="s">
        <v>143</v>
      </c>
      <c r="F12" s="5" t="s">
        <v>144</v>
      </c>
      <c r="G12" s="5" t="s">
        <v>145</v>
      </c>
      <c r="H12" s="21" t="s">
        <v>83</v>
      </c>
      <c r="I12" s="21"/>
      <c r="J12" s="21" t="s">
        <v>71</v>
      </c>
      <c r="K12" s="22"/>
      <c r="L12" s="27"/>
      <c r="M12" s="12" t="str">
        <f t="shared" si="0"/>
        <v/>
      </c>
      <c r="N12" s="12"/>
      <c r="O12" s="23" t="str">
        <f t="shared" si="1"/>
        <v/>
      </c>
      <c r="P12" s="21" t="s">
        <v>146</v>
      </c>
      <c r="Q12" s="5"/>
      <c r="R12" s="24"/>
      <c r="S12" s="5" t="s">
        <v>147</v>
      </c>
      <c r="T12" s="5" t="s">
        <v>148</v>
      </c>
      <c r="U12" s="21"/>
      <c r="V12" s="25"/>
    </row>
    <row r="13" spans="2:22" ht="63.75" customHeight="1" x14ac:dyDescent="0.2">
      <c r="B13" s="21">
        <v>5</v>
      </c>
      <c r="C13" s="21" t="s">
        <v>40</v>
      </c>
      <c r="D13" s="1" t="s">
        <v>58</v>
      </c>
      <c r="E13" s="5" t="s">
        <v>149</v>
      </c>
      <c r="F13" s="5" t="s">
        <v>150</v>
      </c>
      <c r="G13" s="5" t="s">
        <v>151</v>
      </c>
      <c r="H13" s="21" t="s">
        <v>83</v>
      </c>
      <c r="I13" s="21" t="s">
        <v>152</v>
      </c>
      <c r="J13" s="21" t="s">
        <v>77</v>
      </c>
      <c r="K13" s="22">
        <v>1</v>
      </c>
      <c r="L13" s="19">
        <f>IF(CNAM!G41="","",CNAM!G41)</f>
        <v>66309707</v>
      </c>
      <c r="M13" s="12">
        <f t="shared" si="0"/>
        <v>66309707</v>
      </c>
      <c r="N13" s="19">
        <f>IF(CNAM!I41="","",CNAM!I41)</f>
        <v>33000000</v>
      </c>
      <c r="O13" s="23">
        <f t="shared" si="1"/>
        <v>0.49766469334572688</v>
      </c>
      <c r="P13" s="21" t="s">
        <v>153</v>
      </c>
      <c r="Q13" s="5" t="s">
        <v>154</v>
      </c>
      <c r="R13" s="24"/>
      <c r="S13" s="5" t="s">
        <v>155</v>
      </c>
      <c r="T13" s="5" t="s">
        <v>156</v>
      </c>
      <c r="U13" s="26" t="s">
        <v>59</v>
      </c>
      <c r="V13" s="5" t="s">
        <v>157</v>
      </c>
    </row>
    <row r="14" spans="2:22" ht="63.75" customHeight="1" x14ac:dyDescent="0.2">
      <c r="B14" s="21">
        <v>6</v>
      </c>
      <c r="C14" s="21" t="s">
        <v>40</v>
      </c>
      <c r="D14" s="1" t="s">
        <v>58</v>
      </c>
      <c r="E14" s="5" t="s">
        <v>158</v>
      </c>
      <c r="F14" s="5" t="s">
        <v>150</v>
      </c>
      <c r="G14" s="5" t="s">
        <v>151</v>
      </c>
      <c r="H14" s="21" t="s">
        <v>83</v>
      </c>
      <c r="I14" s="21" t="s">
        <v>152</v>
      </c>
      <c r="J14" s="21" t="s">
        <v>77</v>
      </c>
      <c r="K14" s="22">
        <v>1</v>
      </c>
      <c r="L14" s="19">
        <f>IF(CNAM!G42="","",CNAM!G42)</f>
        <v>18000000</v>
      </c>
      <c r="M14" s="12">
        <f t="shared" si="0"/>
        <v>18000000</v>
      </c>
      <c r="N14" s="19">
        <f>IF(CNAM!I42="","",CNAM!I42)</f>
        <v>6000000</v>
      </c>
      <c r="O14" s="23">
        <f t="shared" si="1"/>
        <v>0.33333333333333331</v>
      </c>
      <c r="P14" s="21" t="s">
        <v>146</v>
      </c>
      <c r="Q14" s="5" t="s">
        <v>159</v>
      </c>
      <c r="R14" s="24">
        <v>46357</v>
      </c>
      <c r="S14" s="5" t="s">
        <v>160</v>
      </c>
      <c r="T14" s="5" t="s">
        <v>156</v>
      </c>
      <c r="U14" s="26" t="s">
        <v>59</v>
      </c>
      <c r="V14" s="5" t="s">
        <v>157</v>
      </c>
    </row>
    <row r="15" spans="2:22" ht="63.75" customHeight="1" x14ac:dyDescent="0.2">
      <c r="B15" s="21">
        <v>7</v>
      </c>
      <c r="C15" s="21" t="s">
        <v>40</v>
      </c>
      <c r="D15" s="1" t="s">
        <v>58</v>
      </c>
      <c r="E15" s="5" t="s">
        <v>161</v>
      </c>
      <c r="F15" s="5" t="s">
        <v>150</v>
      </c>
      <c r="G15" s="5" t="s">
        <v>151</v>
      </c>
      <c r="H15" s="21" t="s">
        <v>83</v>
      </c>
      <c r="I15" s="21" t="s">
        <v>152</v>
      </c>
      <c r="J15" s="21" t="s">
        <v>74</v>
      </c>
      <c r="K15" s="22"/>
      <c r="L15" s="19">
        <f>IF(CNAM!G50="","",CNAM!G50)</f>
        <v>66309707</v>
      </c>
      <c r="M15" s="12" t="str">
        <f t="shared" si="0"/>
        <v/>
      </c>
      <c r="N15" s="12"/>
      <c r="O15" s="23" t="str">
        <f t="shared" si="1"/>
        <v/>
      </c>
      <c r="P15" s="21" t="s">
        <v>146</v>
      </c>
      <c r="Q15" s="5" t="s">
        <v>162</v>
      </c>
      <c r="R15" s="24">
        <v>46355</v>
      </c>
      <c r="S15" s="5" t="s">
        <v>163</v>
      </c>
      <c r="T15" s="5" t="s">
        <v>156</v>
      </c>
      <c r="U15" s="26" t="s">
        <v>59</v>
      </c>
      <c r="V15" s="5" t="s">
        <v>157</v>
      </c>
    </row>
    <row r="16" spans="2:22" ht="63.75" customHeight="1" x14ac:dyDescent="0.2">
      <c r="B16" s="21">
        <v>8</v>
      </c>
      <c r="C16" s="21" t="s">
        <v>40</v>
      </c>
      <c r="D16" s="1" t="s">
        <v>60</v>
      </c>
      <c r="E16" s="5" t="s">
        <v>149</v>
      </c>
      <c r="F16" s="5" t="s">
        <v>150</v>
      </c>
      <c r="G16" s="5" t="s">
        <v>151</v>
      </c>
      <c r="H16" s="21" t="s">
        <v>83</v>
      </c>
      <c r="I16" s="21" t="s">
        <v>152</v>
      </c>
      <c r="J16" s="21" t="s">
        <v>76</v>
      </c>
      <c r="K16" s="22"/>
      <c r="L16" s="19">
        <f>IF(CNPS!G50="","",CNPS!G50)</f>
        <v>22700000</v>
      </c>
      <c r="M16" s="12" t="str">
        <f t="shared" si="0"/>
        <v/>
      </c>
      <c r="N16" s="12"/>
      <c r="O16" s="23" t="str">
        <f t="shared" si="1"/>
        <v/>
      </c>
      <c r="P16" s="21" t="s">
        <v>132</v>
      </c>
      <c r="Q16" s="5" t="s">
        <v>164</v>
      </c>
      <c r="R16" s="24">
        <v>46318</v>
      </c>
      <c r="S16" s="5" t="s">
        <v>165</v>
      </c>
      <c r="T16" s="5" t="s">
        <v>156</v>
      </c>
      <c r="U16" s="26" t="s">
        <v>61</v>
      </c>
      <c r="V16" s="5" t="s">
        <v>166</v>
      </c>
    </row>
    <row r="17" spans="2:22" ht="63.75" customHeight="1" x14ac:dyDescent="0.2">
      <c r="B17" s="21">
        <v>9</v>
      </c>
      <c r="C17" s="21" t="s">
        <v>40</v>
      </c>
      <c r="D17" s="1" t="s">
        <v>60</v>
      </c>
      <c r="E17" s="5" t="s">
        <v>167</v>
      </c>
      <c r="F17" s="5" t="s">
        <v>168</v>
      </c>
      <c r="G17" s="5" t="s">
        <v>40</v>
      </c>
      <c r="H17" s="21" t="s">
        <v>83</v>
      </c>
      <c r="I17" s="21"/>
      <c r="J17" s="21" t="s">
        <v>75</v>
      </c>
      <c r="K17" s="22"/>
      <c r="L17" s="19">
        <f>IF(CNPS!G51="","",CNPS!G51)</f>
        <v>59000000</v>
      </c>
      <c r="M17" s="12" t="str">
        <f t="shared" si="0"/>
        <v/>
      </c>
      <c r="N17" s="12"/>
      <c r="O17" s="23" t="str">
        <f t="shared" si="1"/>
        <v/>
      </c>
      <c r="P17" s="21" t="s">
        <v>132</v>
      </c>
      <c r="Q17" s="5" t="s">
        <v>169</v>
      </c>
      <c r="R17" s="24"/>
      <c r="S17" s="5" t="s">
        <v>170</v>
      </c>
      <c r="T17" s="5"/>
      <c r="U17" s="26" t="s">
        <v>61</v>
      </c>
      <c r="V17" s="5" t="s">
        <v>166</v>
      </c>
    </row>
    <row r="18" spans="2:22" ht="63.75" customHeight="1" x14ac:dyDescent="0.2">
      <c r="B18" s="21">
        <v>10</v>
      </c>
      <c r="C18" s="21" t="s">
        <v>40</v>
      </c>
      <c r="D18" s="1" t="s">
        <v>171</v>
      </c>
      <c r="E18" s="5" t="s">
        <v>172</v>
      </c>
      <c r="F18" s="5" t="s">
        <v>173</v>
      </c>
      <c r="G18" s="5" t="s">
        <v>151</v>
      </c>
      <c r="H18" s="21" t="s">
        <v>83</v>
      </c>
      <c r="I18" s="21" t="s">
        <v>152</v>
      </c>
      <c r="J18" s="21" t="s">
        <v>77</v>
      </c>
      <c r="K18" s="22">
        <v>1</v>
      </c>
      <c r="L18" s="19">
        <f>IF(FER!G34="","",FER!G34)</f>
        <v>28766400</v>
      </c>
      <c r="M18" s="12">
        <f t="shared" si="0"/>
        <v>28766400</v>
      </c>
      <c r="N18" s="12"/>
      <c r="O18" s="23" t="str">
        <f t="shared" si="1"/>
        <v/>
      </c>
      <c r="P18" s="21" t="s">
        <v>153</v>
      </c>
      <c r="Q18" s="5" t="s">
        <v>174</v>
      </c>
      <c r="R18" s="24"/>
      <c r="S18" s="5" t="s">
        <v>175</v>
      </c>
      <c r="T18" s="5" t="s">
        <v>176</v>
      </c>
      <c r="U18" s="26" t="s">
        <v>63</v>
      </c>
      <c r="V18" s="5" t="s">
        <v>177</v>
      </c>
    </row>
    <row r="19" spans="2:22" ht="63.75" customHeight="1" x14ac:dyDescent="0.2">
      <c r="B19" s="21">
        <v>11</v>
      </c>
      <c r="C19" s="21" t="s">
        <v>40</v>
      </c>
      <c r="D19" s="1" t="s">
        <v>171</v>
      </c>
      <c r="E19" s="5" t="s">
        <v>178</v>
      </c>
      <c r="F19" s="5" t="s">
        <v>151</v>
      </c>
      <c r="G19" s="5" t="s">
        <v>151</v>
      </c>
      <c r="H19" s="21" t="s">
        <v>83</v>
      </c>
      <c r="I19" s="21" t="s">
        <v>131</v>
      </c>
      <c r="J19" s="21" t="s">
        <v>76</v>
      </c>
      <c r="K19" s="22">
        <f>IF(FER!H43="","",FER!H43)</f>
        <v>0.9</v>
      </c>
      <c r="L19" s="19">
        <f>IF(FER!G43="","",FER!G43)</f>
        <v>4500000</v>
      </c>
      <c r="M19" s="12">
        <f t="shared" si="0"/>
        <v>4050000</v>
      </c>
      <c r="N19" s="12">
        <v>0</v>
      </c>
      <c r="O19" s="23">
        <f t="shared" si="1"/>
        <v>0</v>
      </c>
      <c r="P19" s="21" t="s">
        <v>132</v>
      </c>
      <c r="Q19" s="5" t="s">
        <v>179</v>
      </c>
      <c r="R19" s="24"/>
      <c r="S19" s="5" t="s">
        <v>180</v>
      </c>
      <c r="T19" s="5" t="s">
        <v>176</v>
      </c>
      <c r="U19" s="26" t="s">
        <v>63</v>
      </c>
      <c r="V19" s="5" t="s">
        <v>177</v>
      </c>
    </row>
    <row r="20" spans="2:22" ht="63.75" customHeight="1" x14ac:dyDescent="0.2">
      <c r="B20" s="21">
        <v>12</v>
      </c>
      <c r="C20" s="21" t="s">
        <v>40</v>
      </c>
      <c r="D20" s="1" t="s">
        <v>181</v>
      </c>
      <c r="E20" s="5" t="s">
        <v>149</v>
      </c>
      <c r="F20" s="5" t="s">
        <v>151</v>
      </c>
      <c r="G20" s="5" t="s">
        <v>40</v>
      </c>
      <c r="H20" s="21" t="s">
        <v>83</v>
      </c>
      <c r="I20" s="21" t="s">
        <v>152</v>
      </c>
      <c r="J20" s="21" t="s">
        <v>77</v>
      </c>
      <c r="K20" s="22">
        <v>1</v>
      </c>
      <c r="L20" s="19">
        <f>IF(NSIA!G45="","",NSIA!G45)</f>
        <v>1610068</v>
      </c>
      <c r="M20" s="12">
        <f t="shared" si="0"/>
        <v>1610068</v>
      </c>
      <c r="N20" s="12"/>
      <c r="O20" s="23" t="str">
        <f t="shared" si="1"/>
        <v/>
      </c>
      <c r="P20" s="21" t="s">
        <v>153</v>
      </c>
      <c r="Q20" s="5" t="s">
        <v>182</v>
      </c>
      <c r="R20" s="24"/>
      <c r="S20" s="5" t="s">
        <v>183</v>
      </c>
      <c r="T20" s="5" t="s">
        <v>156</v>
      </c>
      <c r="U20" s="26" t="s">
        <v>65</v>
      </c>
      <c r="V20" s="5" t="s">
        <v>184</v>
      </c>
    </row>
    <row r="21" spans="2:22" ht="63.75" customHeight="1" x14ac:dyDescent="0.2">
      <c r="B21" s="21">
        <v>13</v>
      </c>
      <c r="C21" s="21" t="s">
        <v>46</v>
      </c>
      <c r="D21" s="1" t="s">
        <v>68</v>
      </c>
      <c r="E21" s="5" t="s">
        <v>185</v>
      </c>
      <c r="F21" s="5" t="s">
        <v>186</v>
      </c>
      <c r="G21" s="5" t="s">
        <v>186</v>
      </c>
      <c r="H21" s="21" t="s">
        <v>83</v>
      </c>
      <c r="I21" s="21" t="s">
        <v>152</v>
      </c>
      <c r="J21" s="21" t="s">
        <v>74</v>
      </c>
      <c r="K21" s="22"/>
      <c r="L21" s="19" t="str">
        <f>IF(NEURONES!G44="","",NEURONES!G44)</f>
        <v/>
      </c>
      <c r="M21" s="12" t="str">
        <f t="shared" si="0"/>
        <v/>
      </c>
      <c r="N21" s="12"/>
      <c r="O21" s="23" t="str">
        <f t="shared" si="1"/>
        <v/>
      </c>
      <c r="P21" s="21" t="s">
        <v>132</v>
      </c>
      <c r="Q21" s="5" t="s">
        <v>187</v>
      </c>
      <c r="R21" s="24">
        <v>46309</v>
      </c>
      <c r="S21" s="5" t="s">
        <v>188</v>
      </c>
      <c r="T21" s="5" t="s">
        <v>189</v>
      </c>
      <c r="U21" s="26" t="s">
        <v>47</v>
      </c>
      <c r="V21" s="5" t="s">
        <v>190</v>
      </c>
    </row>
    <row r="22" spans="2:22" ht="63.75" customHeight="1" x14ac:dyDescent="0.2">
      <c r="B22" s="21">
        <v>14</v>
      </c>
      <c r="C22" s="21" t="s">
        <v>42</v>
      </c>
      <c r="D22" s="1" t="s">
        <v>191</v>
      </c>
      <c r="E22" s="3" t="s">
        <v>192</v>
      </c>
      <c r="F22" s="5"/>
      <c r="G22" s="5"/>
      <c r="H22" s="21" t="s">
        <v>86</v>
      </c>
      <c r="I22" s="21"/>
      <c r="J22" s="21" t="s">
        <v>71</v>
      </c>
      <c r="K22" s="22"/>
      <c r="L22" s="27"/>
      <c r="M22" s="12" t="str">
        <f t="shared" si="0"/>
        <v/>
      </c>
      <c r="N22" s="12"/>
      <c r="O22" s="23" t="str">
        <f t="shared" si="1"/>
        <v/>
      </c>
      <c r="P22" s="21" t="s">
        <v>153</v>
      </c>
      <c r="Q22" s="5"/>
      <c r="R22" s="24"/>
      <c r="S22" s="5" t="s">
        <v>193</v>
      </c>
      <c r="T22" s="5"/>
      <c r="U22" s="21"/>
      <c r="V22" s="25"/>
    </row>
    <row r="23" spans="2:22" ht="63.75" customHeight="1" x14ac:dyDescent="0.2">
      <c r="B23" s="21">
        <v>15</v>
      </c>
      <c r="C23" s="21" t="s">
        <v>44</v>
      </c>
      <c r="D23" s="1" t="s">
        <v>194</v>
      </c>
      <c r="E23" s="5" t="s">
        <v>195</v>
      </c>
      <c r="F23" s="5" t="s">
        <v>196</v>
      </c>
      <c r="G23" s="5" t="s">
        <v>197</v>
      </c>
      <c r="H23" s="21" t="s">
        <v>86</v>
      </c>
      <c r="I23" s="21"/>
      <c r="J23" s="21" t="s">
        <v>71</v>
      </c>
      <c r="K23" s="22"/>
      <c r="L23" s="27"/>
      <c r="M23" s="12" t="str">
        <f t="shared" si="0"/>
        <v/>
      </c>
      <c r="N23" s="12"/>
      <c r="O23" s="23" t="str">
        <f t="shared" si="1"/>
        <v/>
      </c>
      <c r="P23" s="21" t="s">
        <v>146</v>
      </c>
      <c r="Q23" s="5" t="s">
        <v>198</v>
      </c>
      <c r="R23" s="24"/>
      <c r="S23" s="5" t="s">
        <v>199</v>
      </c>
      <c r="T23" s="5" t="s">
        <v>200</v>
      </c>
      <c r="U23" s="26" t="s">
        <v>45</v>
      </c>
      <c r="V23" s="25"/>
    </row>
    <row r="24" spans="2:22" ht="63.75" customHeight="1" x14ac:dyDescent="0.2">
      <c r="B24" s="21">
        <v>16</v>
      </c>
      <c r="C24" s="21" t="s">
        <v>42</v>
      </c>
      <c r="D24" s="1" t="s">
        <v>201</v>
      </c>
      <c r="E24" s="5" t="s">
        <v>202</v>
      </c>
      <c r="F24" s="5" t="s">
        <v>203</v>
      </c>
      <c r="G24" s="5" t="s">
        <v>204</v>
      </c>
      <c r="H24" s="21" t="s">
        <v>83</v>
      </c>
      <c r="I24" s="21" t="s">
        <v>131</v>
      </c>
      <c r="J24" s="21" t="s">
        <v>72</v>
      </c>
      <c r="K24" s="22"/>
      <c r="L24" s="27"/>
      <c r="M24" s="12" t="str">
        <f t="shared" si="0"/>
        <v/>
      </c>
      <c r="N24" s="12"/>
      <c r="O24" s="23" t="str">
        <f t="shared" si="1"/>
        <v/>
      </c>
      <c r="P24" s="21" t="s">
        <v>132</v>
      </c>
      <c r="Q24" s="5" t="s">
        <v>205</v>
      </c>
      <c r="R24" s="24"/>
      <c r="S24" s="5" t="s">
        <v>206</v>
      </c>
      <c r="T24" s="5" t="s">
        <v>207</v>
      </c>
      <c r="U24" s="21"/>
      <c r="V24" s="25"/>
    </row>
    <row r="25" spans="2:22" ht="63.75" customHeight="1" x14ac:dyDescent="0.2">
      <c r="B25" s="21">
        <v>17</v>
      </c>
      <c r="C25" s="21" t="s">
        <v>42</v>
      </c>
      <c r="D25" s="1" t="s">
        <v>208</v>
      </c>
      <c r="E25" s="5" t="s">
        <v>209</v>
      </c>
      <c r="F25" s="5" t="s">
        <v>210</v>
      </c>
      <c r="G25" s="5" t="s">
        <v>211</v>
      </c>
      <c r="H25" s="21" t="s">
        <v>83</v>
      </c>
      <c r="I25" s="21"/>
      <c r="J25" s="21" t="s">
        <v>71</v>
      </c>
      <c r="K25" s="22"/>
      <c r="L25" s="27"/>
      <c r="M25" s="12" t="str">
        <f t="shared" si="0"/>
        <v/>
      </c>
      <c r="N25" s="12"/>
      <c r="O25" s="23" t="str">
        <f t="shared" si="1"/>
        <v/>
      </c>
      <c r="P25" s="21" t="s">
        <v>153</v>
      </c>
      <c r="Q25" s="5" t="s">
        <v>212</v>
      </c>
      <c r="R25" s="24"/>
      <c r="S25" s="5" t="s">
        <v>213</v>
      </c>
      <c r="T25" s="5" t="s">
        <v>214</v>
      </c>
      <c r="U25" s="21"/>
      <c r="V25" s="25"/>
    </row>
    <row r="26" spans="2:22" ht="63.75" customHeight="1" x14ac:dyDescent="0.2">
      <c r="B26" s="21">
        <v>18</v>
      </c>
      <c r="C26" s="21" t="s">
        <v>42</v>
      </c>
      <c r="D26" s="1" t="s">
        <v>215</v>
      </c>
      <c r="E26" s="5" t="s">
        <v>216</v>
      </c>
      <c r="F26" s="5" t="s">
        <v>217</v>
      </c>
      <c r="G26" s="5" t="s">
        <v>211</v>
      </c>
      <c r="H26" s="21" t="s">
        <v>83</v>
      </c>
      <c r="I26" s="21"/>
      <c r="J26" s="21" t="s">
        <v>71</v>
      </c>
      <c r="K26" s="22"/>
      <c r="L26" s="27"/>
      <c r="M26" s="12" t="str">
        <f t="shared" si="0"/>
        <v/>
      </c>
      <c r="N26" s="12"/>
      <c r="O26" s="23" t="str">
        <f t="shared" si="1"/>
        <v/>
      </c>
      <c r="P26" s="21" t="s">
        <v>153</v>
      </c>
      <c r="Q26" s="5" t="s">
        <v>218</v>
      </c>
      <c r="R26" s="24"/>
      <c r="S26" s="5" t="s">
        <v>219</v>
      </c>
      <c r="T26" s="5" t="s">
        <v>220</v>
      </c>
      <c r="U26" s="21"/>
      <c r="V26" s="25"/>
    </row>
    <row r="27" spans="2:22" ht="63.75" customHeight="1" x14ac:dyDescent="0.2">
      <c r="B27" s="21">
        <v>19</v>
      </c>
      <c r="C27" s="21" t="s">
        <v>42</v>
      </c>
      <c r="D27" s="1" t="s">
        <v>221</v>
      </c>
      <c r="E27" s="5" t="s">
        <v>222</v>
      </c>
      <c r="F27" s="5" t="s">
        <v>223</v>
      </c>
      <c r="G27" s="5" t="s">
        <v>211</v>
      </c>
      <c r="H27" s="21" t="s">
        <v>83</v>
      </c>
      <c r="I27" s="21"/>
      <c r="J27" s="21" t="s">
        <v>71</v>
      </c>
      <c r="K27" s="22"/>
      <c r="L27" s="27"/>
      <c r="M27" s="12" t="str">
        <f t="shared" si="0"/>
        <v/>
      </c>
      <c r="N27" s="12"/>
      <c r="O27" s="23" t="str">
        <f t="shared" si="1"/>
        <v/>
      </c>
      <c r="P27" s="21" t="s">
        <v>153</v>
      </c>
      <c r="Q27" s="5" t="s">
        <v>224</v>
      </c>
      <c r="R27" s="24"/>
      <c r="S27" s="5" t="s">
        <v>225</v>
      </c>
      <c r="T27" s="5" t="s">
        <v>226</v>
      </c>
      <c r="U27" s="21"/>
      <c r="V27" s="5" t="s">
        <v>227</v>
      </c>
    </row>
    <row r="28" spans="2:22" ht="63.75" customHeight="1" x14ac:dyDescent="0.2">
      <c r="B28" s="21">
        <v>20</v>
      </c>
      <c r="C28" s="21" t="s">
        <v>42</v>
      </c>
      <c r="D28" s="1" t="s">
        <v>228</v>
      </c>
      <c r="E28" s="5" t="s">
        <v>229</v>
      </c>
      <c r="F28" s="5" t="s">
        <v>230</v>
      </c>
      <c r="G28" s="5" t="s">
        <v>211</v>
      </c>
      <c r="H28" s="21" t="s">
        <v>83</v>
      </c>
      <c r="I28" s="21"/>
      <c r="J28" s="21" t="s">
        <v>71</v>
      </c>
      <c r="K28" s="22"/>
      <c r="L28" s="27"/>
      <c r="M28" s="12" t="str">
        <f t="shared" si="0"/>
        <v/>
      </c>
      <c r="N28" s="12"/>
      <c r="O28" s="23" t="str">
        <f t="shared" si="1"/>
        <v/>
      </c>
      <c r="P28" s="21" t="s">
        <v>153</v>
      </c>
      <c r="Q28" s="5" t="s">
        <v>231</v>
      </c>
      <c r="R28" s="24"/>
      <c r="S28" s="5" t="s">
        <v>232</v>
      </c>
      <c r="T28" s="5" t="s">
        <v>233</v>
      </c>
      <c r="U28" s="21"/>
      <c r="V28" s="5" t="s">
        <v>234</v>
      </c>
    </row>
    <row r="29" spans="2:22" ht="63.75" customHeight="1" x14ac:dyDescent="0.2">
      <c r="B29" s="21">
        <v>21</v>
      </c>
      <c r="C29" s="21" t="s">
        <v>42</v>
      </c>
      <c r="D29" s="1" t="s">
        <v>235</v>
      </c>
      <c r="E29" s="5" t="s">
        <v>236</v>
      </c>
      <c r="F29" s="5" t="s">
        <v>237</v>
      </c>
      <c r="G29" s="5" t="s">
        <v>211</v>
      </c>
      <c r="H29" s="21" t="s">
        <v>83</v>
      </c>
      <c r="I29" s="21"/>
      <c r="J29" s="21" t="s">
        <v>71</v>
      </c>
      <c r="K29" s="22"/>
      <c r="L29" s="27"/>
      <c r="M29" s="12" t="str">
        <f t="shared" si="0"/>
        <v/>
      </c>
      <c r="N29" s="12"/>
      <c r="O29" s="23" t="str">
        <f t="shared" si="1"/>
        <v/>
      </c>
      <c r="P29" s="21" t="s">
        <v>153</v>
      </c>
      <c r="Q29" s="5" t="s">
        <v>238</v>
      </c>
      <c r="R29" s="24"/>
      <c r="S29" s="5" t="s">
        <v>239</v>
      </c>
      <c r="T29" s="5" t="s">
        <v>240</v>
      </c>
      <c r="U29" s="21"/>
      <c r="V29" s="5" t="s">
        <v>241</v>
      </c>
    </row>
    <row r="30" spans="2:22" ht="63.75" customHeight="1" x14ac:dyDescent="0.2">
      <c r="B30" s="21">
        <v>22</v>
      </c>
      <c r="C30" s="21" t="s">
        <v>42</v>
      </c>
      <c r="D30" s="1" t="s">
        <v>242</v>
      </c>
      <c r="E30" s="5" t="s">
        <v>243</v>
      </c>
      <c r="F30" s="5" t="s">
        <v>244</v>
      </c>
      <c r="G30" s="5" t="s">
        <v>211</v>
      </c>
      <c r="H30" s="21" t="s">
        <v>83</v>
      </c>
      <c r="I30" s="21"/>
      <c r="J30" s="21" t="s">
        <v>71</v>
      </c>
      <c r="K30" s="22"/>
      <c r="L30" s="27"/>
      <c r="M30" s="12" t="str">
        <f t="shared" si="0"/>
        <v/>
      </c>
      <c r="N30" s="12"/>
      <c r="O30" s="23" t="str">
        <f t="shared" si="1"/>
        <v/>
      </c>
      <c r="P30" s="21" t="s">
        <v>153</v>
      </c>
      <c r="Q30" s="5" t="s">
        <v>245</v>
      </c>
      <c r="R30" s="24"/>
      <c r="S30" s="5" t="s">
        <v>246</v>
      </c>
      <c r="T30" s="5" t="s">
        <v>247</v>
      </c>
      <c r="U30" s="21"/>
      <c r="V30" s="5" t="s">
        <v>248</v>
      </c>
    </row>
    <row r="31" spans="2:22" ht="63.75" customHeight="1" x14ac:dyDescent="0.2">
      <c r="B31" s="21">
        <v>23</v>
      </c>
      <c r="C31" s="21" t="s">
        <v>42</v>
      </c>
      <c r="D31" s="1" t="s">
        <v>249</v>
      </c>
      <c r="E31" s="5" t="s">
        <v>250</v>
      </c>
      <c r="F31" s="5" t="s">
        <v>251</v>
      </c>
      <c r="G31" s="5" t="s">
        <v>211</v>
      </c>
      <c r="H31" s="21" t="s">
        <v>83</v>
      </c>
      <c r="I31" s="21"/>
      <c r="J31" s="21" t="s">
        <v>71</v>
      </c>
      <c r="K31" s="22"/>
      <c r="L31" s="27"/>
      <c r="M31" s="12" t="str">
        <f t="shared" si="0"/>
        <v/>
      </c>
      <c r="N31" s="12"/>
      <c r="O31" s="23" t="str">
        <f t="shared" si="1"/>
        <v/>
      </c>
      <c r="P31" s="21" t="s">
        <v>153</v>
      </c>
      <c r="Q31" s="5" t="s">
        <v>252</v>
      </c>
      <c r="R31" s="24"/>
      <c r="S31" s="5" t="s">
        <v>253</v>
      </c>
      <c r="T31" s="5" t="s">
        <v>254</v>
      </c>
      <c r="U31" s="21"/>
      <c r="V31" s="5" t="s">
        <v>255</v>
      </c>
    </row>
    <row r="32" spans="2:22" ht="63.75" customHeight="1" x14ac:dyDescent="0.2">
      <c r="B32" s="21">
        <v>24</v>
      </c>
      <c r="C32" s="21" t="s">
        <v>42</v>
      </c>
      <c r="D32" s="1" t="s">
        <v>256</v>
      </c>
      <c r="E32" s="5" t="s">
        <v>257</v>
      </c>
      <c r="F32" s="5" t="s">
        <v>258</v>
      </c>
      <c r="G32" s="5" t="s">
        <v>211</v>
      </c>
      <c r="H32" s="21" t="s">
        <v>83</v>
      </c>
      <c r="I32" s="21"/>
      <c r="J32" s="21" t="s">
        <v>71</v>
      </c>
      <c r="K32" s="22"/>
      <c r="L32" s="27"/>
      <c r="M32" s="12" t="str">
        <f t="shared" si="0"/>
        <v/>
      </c>
      <c r="N32" s="12"/>
      <c r="O32" s="23" t="str">
        <f t="shared" si="1"/>
        <v/>
      </c>
      <c r="P32" s="21" t="s">
        <v>153</v>
      </c>
      <c r="Q32" s="5" t="s">
        <v>259</v>
      </c>
      <c r="R32" s="24"/>
      <c r="S32" s="5" t="s">
        <v>260</v>
      </c>
      <c r="T32" s="5" t="s">
        <v>261</v>
      </c>
      <c r="U32" s="21"/>
      <c r="V32" s="5" t="s">
        <v>262</v>
      </c>
    </row>
    <row r="33" spans="2:22" ht="63.75" customHeight="1" x14ac:dyDescent="0.2">
      <c r="B33" s="21">
        <v>25</v>
      </c>
      <c r="C33" s="21" t="s">
        <v>42</v>
      </c>
      <c r="D33" s="1" t="s">
        <v>263</v>
      </c>
      <c r="E33" s="5" t="s">
        <v>264</v>
      </c>
      <c r="F33" s="5" t="s">
        <v>265</v>
      </c>
      <c r="G33" s="5" t="s">
        <v>211</v>
      </c>
      <c r="H33" s="21" t="s">
        <v>83</v>
      </c>
      <c r="I33" s="21"/>
      <c r="J33" s="21" t="s">
        <v>71</v>
      </c>
      <c r="K33" s="22"/>
      <c r="L33" s="27"/>
      <c r="M33" s="12" t="str">
        <f t="shared" si="0"/>
        <v/>
      </c>
      <c r="N33" s="12"/>
      <c r="O33" s="23" t="str">
        <f t="shared" si="1"/>
        <v/>
      </c>
      <c r="P33" s="21" t="s">
        <v>153</v>
      </c>
      <c r="Q33" s="5" t="s">
        <v>266</v>
      </c>
      <c r="R33" s="24"/>
      <c r="S33" s="5" t="s">
        <v>267</v>
      </c>
      <c r="T33" s="5" t="s">
        <v>268</v>
      </c>
      <c r="U33" s="21"/>
      <c r="V33" s="25"/>
    </row>
    <row r="34" spans="2:22" ht="63.75" customHeight="1" x14ac:dyDescent="0.2">
      <c r="B34" s="21">
        <v>26</v>
      </c>
      <c r="C34" s="21" t="s">
        <v>42</v>
      </c>
      <c r="D34" s="1" t="s">
        <v>269</v>
      </c>
      <c r="E34" s="5" t="s">
        <v>270</v>
      </c>
      <c r="F34" s="5" t="s">
        <v>271</v>
      </c>
      <c r="G34" s="5" t="s">
        <v>211</v>
      </c>
      <c r="H34" s="21" t="s">
        <v>83</v>
      </c>
      <c r="I34" s="21"/>
      <c r="J34" s="21" t="s">
        <v>71</v>
      </c>
      <c r="K34" s="22"/>
      <c r="L34" s="27"/>
      <c r="M34" s="12" t="str">
        <f t="shared" si="0"/>
        <v/>
      </c>
      <c r="N34" s="12"/>
      <c r="O34" s="23" t="str">
        <f t="shared" si="1"/>
        <v/>
      </c>
      <c r="P34" s="21" t="s">
        <v>153</v>
      </c>
      <c r="Q34" s="5" t="s">
        <v>272</v>
      </c>
      <c r="R34" s="24"/>
      <c r="S34" s="5" t="s">
        <v>273</v>
      </c>
      <c r="T34" s="5" t="s">
        <v>274</v>
      </c>
      <c r="U34" s="21"/>
      <c r="V34" s="25"/>
    </row>
    <row r="35" spans="2:22" ht="63.75" customHeight="1" x14ac:dyDescent="0.2">
      <c r="B35" s="21">
        <v>27</v>
      </c>
      <c r="C35" s="21" t="s">
        <v>42</v>
      </c>
      <c r="D35" s="1" t="s">
        <v>275</v>
      </c>
      <c r="E35" s="5" t="s">
        <v>276</v>
      </c>
      <c r="F35" s="5" t="s">
        <v>277</v>
      </c>
      <c r="G35" s="5" t="s">
        <v>211</v>
      </c>
      <c r="H35" s="21" t="s">
        <v>83</v>
      </c>
      <c r="I35" s="21"/>
      <c r="J35" s="21" t="s">
        <v>71</v>
      </c>
      <c r="K35" s="22"/>
      <c r="L35" s="27"/>
      <c r="M35" s="12" t="str">
        <f t="shared" si="0"/>
        <v/>
      </c>
      <c r="N35" s="12"/>
      <c r="O35" s="23" t="str">
        <f t="shared" si="1"/>
        <v/>
      </c>
      <c r="P35" s="21" t="s">
        <v>153</v>
      </c>
      <c r="Q35" s="5" t="s">
        <v>278</v>
      </c>
      <c r="R35" s="24"/>
      <c r="S35" s="5" t="s">
        <v>279</v>
      </c>
      <c r="T35" s="5" t="s">
        <v>280</v>
      </c>
      <c r="U35" s="21"/>
      <c r="V35" s="25"/>
    </row>
    <row r="36" spans="2:22" ht="63.75" customHeight="1" x14ac:dyDescent="0.2">
      <c r="B36" s="21">
        <v>28</v>
      </c>
      <c r="C36" s="21" t="s">
        <v>42</v>
      </c>
      <c r="D36" s="1" t="s">
        <v>281</v>
      </c>
      <c r="E36" s="5" t="s">
        <v>282</v>
      </c>
      <c r="F36" s="5" t="s">
        <v>283</v>
      </c>
      <c r="G36" s="5" t="s">
        <v>211</v>
      </c>
      <c r="H36" s="21" t="s">
        <v>83</v>
      </c>
      <c r="I36" s="21"/>
      <c r="J36" s="21" t="s">
        <v>71</v>
      </c>
      <c r="K36" s="22"/>
      <c r="L36" s="27"/>
      <c r="M36" s="12" t="str">
        <f t="shared" si="0"/>
        <v/>
      </c>
      <c r="N36" s="12"/>
      <c r="O36" s="23" t="str">
        <f t="shared" si="1"/>
        <v/>
      </c>
      <c r="P36" s="21" t="s">
        <v>153</v>
      </c>
      <c r="Q36" s="5" t="s">
        <v>284</v>
      </c>
      <c r="R36" s="24"/>
      <c r="S36" s="5" t="s">
        <v>285</v>
      </c>
      <c r="T36" s="5" t="s">
        <v>286</v>
      </c>
      <c r="U36" s="21"/>
      <c r="V36" s="5" t="s">
        <v>287</v>
      </c>
    </row>
    <row r="37" spans="2:22" ht="63.75" customHeight="1" x14ac:dyDescent="0.2">
      <c r="B37" s="21">
        <v>29</v>
      </c>
      <c r="C37" s="21" t="s">
        <v>40</v>
      </c>
      <c r="D37" s="1" t="s">
        <v>288</v>
      </c>
      <c r="E37" s="5" t="s">
        <v>289</v>
      </c>
      <c r="F37" s="5" t="s">
        <v>290</v>
      </c>
      <c r="G37" s="5" t="s">
        <v>66</v>
      </c>
      <c r="H37" s="21" t="s">
        <v>86</v>
      </c>
      <c r="I37" s="21" t="s">
        <v>152</v>
      </c>
      <c r="J37" s="21" t="s">
        <v>77</v>
      </c>
      <c r="K37" s="22"/>
      <c r="L37" s="27"/>
      <c r="M37" s="12" t="str">
        <f t="shared" si="0"/>
        <v/>
      </c>
      <c r="N37" s="12"/>
      <c r="O37" s="23" t="str">
        <f t="shared" si="1"/>
        <v/>
      </c>
      <c r="P37" s="21" t="s">
        <v>146</v>
      </c>
      <c r="Q37" s="5" t="s">
        <v>291</v>
      </c>
      <c r="R37" s="24"/>
      <c r="S37" s="5" t="s">
        <v>292</v>
      </c>
      <c r="T37" s="5" t="s">
        <v>293</v>
      </c>
      <c r="U37" s="26" t="s">
        <v>67</v>
      </c>
      <c r="V37" s="5" t="s">
        <v>294</v>
      </c>
    </row>
    <row r="38" spans="2:22" ht="63.75" customHeight="1" x14ac:dyDescent="0.2">
      <c r="B38" s="21">
        <v>30</v>
      </c>
      <c r="C38" s="21" t="s">
        <v>42</v>
      </c>
      <c r="D38" s="1" t="s">
        <v>295</v>
      </c>
      <c r="E38" s="5" t="s">
        <v>296</v>
      </c>
      <c r="F38" s="5" t="s">
        <v>297</v>
      </c>
      <c r="G38" s="5" t="s">
        <v>298</v>
      </c>
      <c r="H38" s="21" t="s">
        <v>86</v>
      </c>
      <c r="I38" s="21" t="s">
        <v>152</v>
      </c>
      <c r="J38" s="21" t="s">
        <v>76</v>
      </c>
      <c r="K38" s="22"/>
      <c r="L38" s="12">
        <v>36000000</v>
      </c>
      <c r="M38" s="12" t="str">
        <f t="shared" si="0"/>
        <v/>
      </c>
      <c r="N38" s="12"/>
      <c r="O38" s="23" t="str">
        <f t="shared" si="1"/>
        <v/>
      </c>
      <c r="P38" s="21" t="s">
        <v>132</v>
      </c>
      <c r="Q38" s="5" t="s">
        <v>299</v>
      </c>
      <c r="R38" s="24">
        <v>46314</v>
      </c>
      <c r="S38" s="5" t="s">
        <v>300</v>
      </c>
      <c r="T38" s="5" t="s">
        <v>301</v>
      </c>
      <c r="U38" s="21"/>
      <c r="V38" s="25"/>
    </row>
    <row r="39" spans="2:22" ht="63.75" customHeight="1" x14ac:dyDescent="0.2">
      <c r="B39" s="21">
        <v>31</v>
      </c>
      <c r="C39" s="21" t="s">
        <v>42</v>
      </c>
      <c r="D39" s="1" t="s">
        <v>295</v>
      </c>
      <c r="E39" s="5" t="s">
        <v>302</v>
      </c>
      <c r="F39" s="5" t="s">
        <v>303</v>
      </c>
      <c r="G39" s="5" t="s">
        <v>298</v>
      </c>
      <c r="H39" s="21" t="s">
        <v>86</v>
      </c>
      <c r="I39" s="21" t="s">
        <v>152</v>
      </c>
      <c r="J39" s="21" t="s">
        <v>74</v>
      </c>
      <c r="K39" s="22"/>
      <c r="L39" s="12">
        <v>72000000</v>
      </c>
      <c r="M39" s="12" t="str">
        <f t="shared" si="0"/>
        <v/>
      </c>
      <c r="N39" s="12"/>
      <c r="O39" s="23" t="str">
        <f t="shared" si="1"/>
        <v/>
      </c>
      <c r="P39" s="21" t="s">
        <v>132</v>
      </c>
      <c r="Q39" s="5" t="s">
        <v>304</v>
      </c>
      <c r="R39" s="24"/>
      <c r="S39" s="5" t="s">
        <v>305</v>
      </c>
      <c r="T39" s="5" t="s">
        <v>301</v>
      </c>
      <c r="U39" s="21"/>
      <c r="V39" s="25"/>
    </row>
    <row r="40" spans="2:22" ht="63.75" customHeight="1" x14ac:dyDescent="0.2">
      <c r="B40" s="21">
        <v>32</v>
      </c>
      <c r="C40" s="21" t="s">
        <v>42</v>
      </c>
      <c r="D40" s="1" t="s">
        <v>295</v>
      </c>
      <c r="E40" s="5" t="s">
        <v>306</v>
      </c>
      <c r="F40" s="5" t="s">
        <v>307</v>
      </c>
      <c r="G40" s="5" t="s">
        <v>298</v>
      </c>
      <c r="H40" s="21" t="s">
        <v>86</v>
      </c>
      <c r="I40" s="21"/>
      <c r="J40" s="21" t="s">
        <v>71</v>
      </c>
      <c r="K40" s="22"/>
      <c r="L40" s="27"/>
      <c r="M40" s="12" t="str">
        <f t="shared" si="0"/>
        <v/>
      </c>
      <c r="N40" s="12"/>
      <c r="O40" s="23" t="str">
        <f t="shared" si="1"/>
        <v/>
      </c>
      <c r="P40" s="21" t="s">
        <v>153</v>
      </c>
      <c r="Q40" s="5" t="s">
        <v>308</v>
      </c>
      <c r="R40" s="24"/>
      <c r="S40" s="5" t="s">
        <v>309</v>
      </c>
      <c r="T40" s="5"/>
      <c r="U40" s="21"/>
      <c r="V40" s="25"/>
    </row>
    <row r="41" spans="2:22" ht="63.75" customHeight="1" x14ac:dyDescent="0.2">
      <c r="B41" s="21">
        <v>33</v>
      </c>
      <c r="C41" s="21" t="s">
        <v>42</v>
      </c>
      <c r="D41" s="1" t="s">
        <v>310</v>
      </c>
      <c r="E41" s="5" t="s">
        <v>311</v>
      </c>
      <c r="F41" s="5" t="s">
        <v>312</v>
      </c>
      <c r="G41" s="5" t="s">
        <v>313</v>
      </c>
      <c r="H41" s="21" t="s">
        <v>86</v>
      </c>
      <c r="I41" s="21"/>
      <c r="J41" s="21" t="s">
        <v>72</v>
      </c>
      <c r="K41" s="22"/>
      <c r="L41" s="27"/>
      <c r="M41" s="12" t="str">
        <f t="shared" si="0"/>
        <v/>
      </c>
      <c r="N41" s="12"/>
      <c r="O41" s="23" t="str">
        <f t="shared" si="1"/>
        <v/>
      </c>
      <c r="P41" s="21" t="s">
        <v>146</v>
      </c>
      <c r="Q41" s="5" t="s">
        <v>314</v>
      </c>
      <c r="R41" s="24"/>
      <c r="S41" s="5" t="s">
        <v>315</v>
      </c>
      <c r="T41" s="5" t="s">
        <v>316</v>
      </c>
      <c r="U41" s="21"/>
      <c r="V41" s="25"/>
    </row>
    <row r="42" spans="2:22" ht="63.75" customHeight="1" x14ac:dyDescent="0.2">
      <c r="B42" s="21">
        <v>34</v>
      </c>
      <c r="C42" s="21" t="s">
        <v>42</v>
      </c>
      <c r="D42" s="1" t="s">
        <v>317</v>
      </c>
      <c r="E42" s="5" t="s">
        <v>318</v>
      </c>
      <c r="F42" s="5" t="s">
        <v>319</v>
      </c>
      <c r="G42" s="5" t="s">
        <v>320</v>
      </c>
      <c r="H42" s="21" t="s">
        <v>86</v>
      </c>
      <c r="I42" s="21"/>
      <c r="J42" s="21" t="s">
        <v>72</v>
      </c>
      <c r="K42" s="22"/>
      <c r="L42" s="27"/>
      <c r="M42" s="12" t="str">
        <f t="shared" si="0"/>
        <v/>
      </c>
      <c r="N42" s="12"/>
      <c r="O42" s="23" t="str">
        <f t="shared" si="1"/>
        <v/>
      </c>
      <c r="P42" s="21" t="s">
        <v>132</v>
      </c>
      <c r="Q42" s="5" t="s">
        <v>321</v>
      </c>
      <c r="R42" s="24">
        <v>46317</v>
      </c>
      <c r="S42" s="5" t="s">
        <v>322</v>
      </c>
      <c r="T42" s="5" t="s">
        <v>323</v>
      </c>
      <c r="U42" s="21"/>
      <c r="V42" s="5" t="s">
        <v>324</v>
      </c>
    </row>
    <row r="43" spans="2:22" ht="63.75" customHeight="1" x14ac:dyDescent="0.2">
      <c r="B43" s="21">
        <v>35</v>
      </c>
      <c r="C43" s="21" t="s">
        <v>42</v>
      </c>
      <c r="D43" s="1" t="s">
        <v>325</v>
      </c>
      <c r="E43" s="5" t="s">
        <v>326</v>
      </c>
      <c r="F43" s="5" t="s">
        <v>307</v>
      </c>
      <c r="G43" s="5" t="s">
        <v>327</v>
      </c>
      <c r="H43" s="21" t="s">
        <v>84</v>
      </c>
      <c r="I43" s="21"/>
      <c r="J43" s="21" t="s">
        <v>72</v>
      </c>
      <c r="K43" s="22"/>
      <c r="L43" s="27"/>
      <c r="M43" s="12" t="str">
        <f t="shared" si="0"/>
        <v/>
      </c>
      <c r="N43" s="12"/>
      <c r="O43" s="23" t="str">
        <f t="shared" si="1"/>
        <v/>
      </c>
      <c r="P43" s="21" t="s">
        <v>153</v>
      </c>
      <c r="Q43" s="5" t="s">
        <v>328</v>
      </c>
      <c r="R43" s="24"/>
      <c r="S43" s="5" t="s">
        <v>329</v>
      </c>
      <c r="T43" s="5"/>
      <c r="U43" s="21"/>
      <c r="V43" s="25"/>
    </row>
    <row r="44" spans="2:22" ht="63.75" customHeight="1" x14ac:dyDescent="0.2">
      <c r="B44" s="21">
        <v>36</v>
      </c>
      <c r="C44" s="21" t="s">
        <v>42</v>
      </c>
      <c r="D44" s="1" t="s">
        <v>330</v>
      </c>
      <c r="E44" s="3" t="s">
        <v>331</v>
      </c>
      <c r="F44" s="5" t="s">
        <v>332</v>
      </c>
      <c r="G44" s="5" t="s">
        <v>85</v>
      </c>
      <c r="H44" s="21" t="s">
        <v>85</v>
      </c>
      <c r="I44" s="21"/>
      <c r="J44" s="21" t="s">
        <v>71</v>
      </c>
      <c r="K44" s="22"/>
      <c r="L44" s="27"/>
      <c r="M44" s="12" t="str">
        <f t="shared" si="0"/>
        <v/>
      </c>
      <c r="N44" s="12"/>
      <c r="O44" s="23" t="str">
        <f t="shared" si="1"/>
        <v/>
      </c>
      <c r="P44" s="21" t="s">
        <v>146</v>
      </c>
      <c r="Q44" s="5" t="s">
        <v>333</v>
      </c>
      <c r="R44" s="24"/>
      <c r="S44" s="5" t="s">
        <v>334</v>
      </c>
      <c r="T44" s="5"/>
      <c r="U44" s="21"/>
      <c r="V44" s="25"/>
    </row>
    <row r="45" spans="2:22" ht="63.75" customHeight="1" x14ac:dyDescent="0.2">
      <c r="B45" s="21">
        <v>37</v>
      </c>
      <c r="C45" s="21" t="s">
        <v>42</v>
      </c>
      <c r="D45" s="1" t="s">
        <v>335</v>
      </c>
      <c r="E45" s="3" t="s">
        <v>331</v>
      </c>
      <c r="F45" s="5" t="s">
        <v>168</v>
      </c>
      <c r="G45" s="5" t="s">
        <v>85</v>
      </c>
      <c r="H45" s="21" t="s">
        <v>85</v>
      </c>
      <c r="I45" s="21"/>
      <c r="J45" s="21" t="s">
        <v>71</v>
      </c>
      <c r="K45" s="22"/>
      <c r="L45" s="27"/>
      <c r="M45" s="12" t="str">
        <f t="shared" si="0"/>
        <v/>
      </c>
      <c r="N45" s="12"/>
      <c r="O45" s="23" t="str">
        <f t="shared" si="1"/>
        <v/>
      </c>
      <c r="P45" s="21" t="s">
        <v>146</v>
      </c>
      <c r="Q45" s="5" t="s">
        <v>333</v>
      </c>
      <c r="R45" s="24"/>
      <c r="S45" s="5" t="s">
        <v>334</v>
      </c>
      <c r="T45" s="5"/>
      <c r="U45" s="21"/>
      <c r="V45" s="25"/>
    </row>
    <row r="46" spans="2:22" ht="21.75" customHeight="1" x14ac:dyDescent="0.2">
      <c r="B46" s="21" t="str">
        <f>IF(D46="","",ROW()-8)</f>
        <v/>
      </c>
      <c r="C46" s="5"/>
      <c r="D46" s="5"/>
      <c r="E46" s="5"/>
      <c r="F46" s="5"/>
      <c r="G46" s="5"/>
      <c r="H46" s="5"/>
      <c r="I46" s="5"/>
      <c r="J46" s="5"/>
      <c r="K46" s="22"/>
      <c r="L46" s="12"/>
      <c r="M46" s="12" t="str">
        <f t="shared" si="0"/>
        <v/>
      </c>
      <c r="N46" s="12"/>
      <c r="O46" s="13" t="str">
        <f t="shared" ref="O46:O51" si="2">IFERROR(N46/L46,"")</f>
        <v/>
      </c>
      <c r="P46" s="5"/>
      <c r="Q46" s="5"/>
      <c r="R46" s="24"/>
      <c r="S46" s="5"/>
      <c r="T46" s="5"/>
      <c r="U46" s="5"/>
      <c r="V46" s="5"/>
    </row>
    <row r="47" spans="2:22" ht="21.75" customHeight="1" x14ac:dyDescent="0.2">
      <c r="B47" s="21" t="str">
        <f>IF(D47="","",ROW()-8)</f>
        <v/>
      </c>
      <c r="C47" s="5"/>
      <c r="D47" s="5"/>
      <c r="E47" s="5"/>
      <c r="F47" s="5"/>
      <c r="G47" s="5"/>
      <c r="H47" s="5"/>
      <c r="I47" s="5"/>
      <c r="J47" s="5"/>
      <c r="K47" s="22"/>
      <c r="L47" s="12"/>
      <c r="M47" s="12" t="str">
        <f t="shared" si="0"/>
        <v/>
      </c>
      <c r="N47" s="12"/>
      <c r="O47" s="13" t="str">
        <f t="shared" si="2"/>
        <v/>
      </c>
      <c r="P47" s="5"/>
      <c r="Q47" s="5"/>
      <c r="R47" s="24"/>
      <c r="S47" s="5"/>
      <c r="T47" s="5"/>
      <c r="U47" s="5"/>
      <c r="V47" s="5"/>
    </row>
    <row r="48" spans="2:22" ht="21.75" customHeight="1" x14ac:dyDescent="0.2">
      <c r="B48" s="21" t="str">
        <f>IF(D48="","",ROW()-8)</f>
        <v/>
      </c>
      <c r="C48" s="5"/>
      <c r="D48" s="5"/>
      <c r="E48" s="5"/>
      <c r="F48" s="5"/>
      <c r="G48" s="5"/>
      <c r="H48" s="5"/>
      <c r="I48" s="5"/>
      <c r="J48" s="5"/>
      <c r="K48" s="22"/>
      <c r="L48" s="12"/>
      <c r="M48" s="12" t="str">
        <f t="shared" si="0"/>
        <v/>
      </c>
      <c r="N48" s="12"/>
      <c r="O48" s="13" t="str">
        <f t="shared" si="2"/>
        <v/>
      </c>
      <c r="P48" s="5"/>
      <c r="Q48" s="5"/>
      <c r="R48" s="24"/>
      <c r="S48" s="5"/>
      <c r="T48" s="5"/>
      <c r="U48" s="5"/>
      <c r="V48" s="5"/>
    </row>
    <row r="49" spans="2:22" ht="21.75" customHeight="1" x14ac:dyDescent="0.2">
      <c r="B49" s="21" t="str">
        <f>IF(D49="","",ROW()-8)</f>
        <v/>
      </c>
      <c r="C49" s="5"/>
      <c r="D49" s="5"/>
      <c r="E49" s="5"/>
      <c r="F49" s="5"/>
      <c r="G49" s="5"/>
      <c r="H49" s="5"/>
      <c r="I49" s="5"/>
      <c r="J49" s="5"/>
      <c r="K49" s="22"/>
      <c r="L49" s="12"/>
      <c r="M49" s="12" t="str">
        <f t="shared" si="0"/>
        <v/>
      </c>
      <c r="N49" s="12"/>
      <c r="O49" s="13" t="str">
        <f t="shared" si="2"/>
        <v/>
      </c>
      <c r="P49" s="5"/>
      <c r="Q49" s="5"/>
      <c r="R49" s="24"/>
      <c r="S49" s="5"/>
      <c r="T49" s="5"/>
      <c r="U49" s="5"/>
      <c r="V49" s="5"/>
    </row>
    <row r="50" spans="2:22" ht="21.75" customHeight="1" x14ac:dyDescent="0.2">
      <c r="B50" s="21" t="str">
        <f>IF(D50="","",ROW()-8)</f>
        <v/>
      </c>
      <c r="C50" s="5"/>
      <c r="D50" s="5"/>
      <c r="E50" s="5"/>
      <c r="F50" s="5"/>
      <c r="G50" s="5"/>
      <c r="H50" s="5"/>
      <c r="I50" s="5"/>
      <c r="J50" s="5"/>
      <c r="K50" s="22"/>
      <c r="L50" s="12"/>
      <c r="M50" s="12" t="str">
        <f t="shared" si="0"/>
        <v/>
      </c>
      <c r="N50" s="12"/>
      <c r="O50" s="13" t="str">
        <f t="shared" si="2"/>
        <v/>
      </c>
      <c r="P50" s="5"/>
      <c r="Q50" s="5"/>
      <c r="R50" s="24"/>
      <c r="S50" s="5"/>
      <c r="T50" s="5"/>
      <c r="U50" s="5"/>
      <c r="V50" s="5"/>
    </row>
    <row r="51" spans="2:22" ht="19.5" customHeight="1" x14ac:dyDescent="0.2">
      <c r="B51" s="42" t="str">
        <f>"TOTAL IAT ("&amp;COUNTA(D9:D50)&amp;" affaires)"</f>
        <v>TOTAL IAT (37 affaires)</v>
      </c>
      <c r="C51" s="42"/>
      <c r="D51" s="42"/>
      <c r="E51" s="42"/>
      <c r="F51" s="42"/>
      <c r="G51" s="42"/>
      <c r="H51" s="42"/>
      <c r="I51" s="42"/>
      <c r="J51" s="42"/>
      <c r="K51" s="17"/>
      <c r="L51" s="15">
        <f>SUM(L9:L50)</f>
        <v>453330882</v>
      </c>
      <c r="M51" s="15">
        <f>SUM(M9:M50)</f>
        <v>171217175</v>
      </c>
      <c r="N51" s="15">
        <f>SUM(N9:N50)</f>
        <v>39000000</v>
      </c>
      <c r="O51" s="16">
        <f t="shared" si="2"/>
        <v>8.6029876958614082E-2</v>
      </c>
      <c r="P51" s="17"/>
      <c r="Q51" s="17"/>
      <c r="R51" s="17"/>
      <c r="S51" s="17"/>
      <c r="T51" s="17"/>
      <c r="U51" s="17"/>
      <c r="V51" s="17"/>
    </row>
  </sheetData>
  <autoFilter ref="B8:V50" xr:uid="{00000000-0009-0000-0000-000001000000}"/>
  <mergeCells count="5">
    <mergeCell ref="B2:V2"/>
    <mergeCell ref="B3:V3"/>
    <mergeCell ref="B4:V4"/>
    <mergeCell ref="B7:V7"/>
    <mergeCell ref="B51:J51"/>
  </mergeCells>
  <conditionalFormatting sqref="J9:J50">
    <cfRule type="expression" dxfId="34" priority="4">
      <formula>$J9="M6 – Gagné"</formula>
    </cfRule>
    <cfRule type="expression" dxfId="33" priority="5">
      <formula>OR($J9="Perdu",$J9="Clôturé / en cessation")</formula>
    </cfRule>
  </conditionalFormatting>
  <conditionalFormatting sqref="P9:P50">
    <cfRule type="expression" dxfId="32" priority="2">
      <formula>$P9="P1"</formula>
    </cfRule>
    <cfRule type="expression" dxfId="31" priority="3">
      <formula>$P9="P2"</formula>
    </cfRule>
  </conditionalFormatting>
  <conditionalFormatting sqref="R9:R50">
    <cfRule type="expression" dxfId="30" priority="6">
      <formula>AND($R9&lt;&gt;"",$R9&lt;TODAY(),$J9&lt;&gt;"M6 – Gagné")</formula>
    </cfRule>
  </conditionalFormatting>
  <hyperlinks>
    <hyperlink ref="B5" r:id="rId1" location="'Synthèse'!A1" xr:uid="{00000000-0004-0000-0100-000000000000}"/>
    <hyperlink ref="U10" r:id="rId2" location="'Orange%20Business'!A1" xr:uid="{00000000-0004-0000-0100-000001000000}"/>
    <hyperlink ref="U11" r:id="rId3" location="'Orange%20Business'!A1" xr:uid="{00000000-0004-0000-0100-000002000000}"/>
    <hyperlink ref="U13" r:id="rId4" location="'CNAM'!A1" xr:uid="{00000000-0004-0000-0100-000003000000}"/>
    <hyperlink ref="U14" r:id="rId5" location="'CNAM'!A1" xr:uid="{00000000-0004-0000-0100-000004000000}"/>
    <hyperlink ref="U15" r:id="rId6" location="'CNAM'!A1" xr:uid="{00000000-0004-0000-0100-000005000000}"/>
    <hyperlink ref="U16" r:id="rId7" location="'CNPS'!A1" xr:uid="{00000000-0004-0000-0100-000006000000}"/>
    <hyperlink ref="U17" r:id="rId8" location="'CNPS'!A1" xr:uid="{00000000-0004-0000-0100-000007000000}"/>
    <hyperlink ref="U18" r:id="rId9" location="'FER'!A1" xr:uid="{00000000-0004-0000-0100-000008000000}"/>
    <hyperlink ref="U19" r:id="rId10" location="'FER'!A1" xr:uid="{00000000-0004-0000-0100-000009000000}"/>
    <hyperlink ref="U20" r:id="rId11" location="'NSIA'!A1" xr:uid="{00000000-0004-0000-0100-00000A000000}"/>
    <hyperlink ref="U21" r:id="rId12" location="'NEURONES'!A1" xr:uid="{00000000-0004-0000-0100-00000B000000}"/>
    <hyperlink ref="U23" r:id="rId13" location="'Appels%20d’offres'!A1" xr:uid="{00000000-0004-0000-0100-00000C000000}"/>
    <hyperlink ref="U37" r:id="rId14" location="'Orange%20Business'!A1" xr:uid="{00000000-0004-0000-0100-00000D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showErrorMessage="1" error="Choisir une valeur dans la liste" xr:uid="{00000000-0002-0000-0100-000000000000}">
          <x14:formula1>
            <xm:f>Listes!$B$2:$B$5</xm:f>
          </x14:formula1>
          <x14:formula2>
            <xm:f>0</xm:f>
          </x14:formula2>
          <xm:sqref>C9:C50</xm:sqref>
        </x14:dataValidation>
        <x14:dataValidation type="list" allowBlank="1" showErrorMessage="1" error="Choisir une valeur dans la liste" xr:uid="{00000000-0002-0000-0100-000001000000}">
          <x14:formula1>
            <xm:f>Listes!$C$2:$C$5</xm:f>
          </x14:formula1>
          <x14:formula2>
            <xm:f>0</xm:f>
          </x14:formula2>
          <xm:sqref>H9:H50</xm:sqref>
        </x14:dataValidation>
        <x14:dataValidation type="list" allowBlank="1" showErrorMessage="1" error="Choisir une valeur dans la liste" xr:uid="{00000000-0002-0000-0100-000002000000}">
          <x14:formula1>
            <xm:f>Listes!$D$2:$D$4</xm:f>
          </x14:formula1>
          <x14:formula2>
            <xm:f>0</xm:f>
          </x14:formula2>
          <xm:sqref>I9:I50</xm:sqref>
        </x14:dataValidation>
        <x14:dataValidation type="list" allowBlank="1" showErrorMessage="1" error="Choisir une valeur dans la liste" xr:uid="{00000000-0002-0000-0100-000003000000}">
          <x14:formula1>
            <xm:f>Listes!$A$2:$A$10</xm:f>
          </x14:formula1>
          <x14:formula2>
            <xm:f>0</xm:f>
          </x14:formula2>
          <xm:sqref>J9:J50</xm:sqref>
        </x14:dataValidation>
        <x14:dataValidation type="list" allowBlank="1" showErrorMessage="1" error="Choisir une valeur dans la liste" xr:uid="{00000000-0002-0000-0100-000004000000}">
          <x14:formula1>
            <xm:f>Listes!$E$2:$E$4</xm:f>
          </x14:formula1>
          <x14:formula2>
            <xm:f>0</xm:f>
          </x14:formula2>
          <xm:sqref>P9:P50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392B"/>
    <pageSetUpPr fitToPage="1"/>
  </sheetPr>
  <dimension ref="B2:R21"/>
  <sheetViews>
    <sheetView showGridLines="0" zoomScaleNormal="100" workbookViewId="0">
      <pane xSplit="4" ySplit="8" topLeftCell="E9" activePane="bottomRight" state="frozen"/>
      <selection pane="topRight" activeCell="E1" sqref="E1"/>
      <selection pane="bottomLeft" activeCell="A9" sqref="A9"/>
      <selection pane="bottomRight"/>
    </sheetView>
  </sheetViews>
  <sheetFormatPr baseColWidth="10" defaultColWidth="8.6640625" defaultRowHeight="15" x14ac:dyDescent="0.2"/>
  <cols>
    <col min="1" max="1" width="3" customWidth="1"/>
    <col min="2" max="2" width="5" customWidth="1"/>
    <col min="3" max="3" width="13" customWidth="1"/>
    <col min="4" max="4" width="26" customWidth="1"/>
    <col min="5" max="5" width="12" customWidth="1"/>
    <col min="6" max="6" width="15" customWidth="1"/>
    <col min="7" max="7" width="26" customWidth="1"/>
    <col min="8" max="8" width="12" customWidth="1"/>
    <col min="9" max="9" width="9" customWidth="1"/>
    <col min="10" max="11" width="12" customWidth="1"/>
    <col min="12" max="12" width="17" customWidth="1"/>
    <col min="13" max="13" width="18" customWidth="1"/>
    <col min="14" max="14" width="15" customWidth="1"/>
    <col min="15" max="15" width="12" customWidth="1"/>
    <col min="16" max="16" width="36" customWidth="1"/>
    <col min="17" max="17" width="40" customWidth="1"/>
    <col min="18" max="18" width="11" customWidth="1"/>
  </cols>
  <sheetData>
    <row r="2" spans="2:18" ht="34.5" customHeight="1" x14ac:dyDescent="0.2">
      <c r="B2" s="40" t="s">
        <v>336</v>
      </c>
      <c r="C2" s="40"/>
      <c r="D2" s="40"/>
      <c r="E2" s="40"/>
      <c r="F2" s="40"/>
      <c r="G2" s="40"/>
      <c r="H2" s="40"/>
      <c r="I2" s="40"/>
      <c r="J2" s="40"/>
      <c r="K2" s="40"/>
      <c r="L2" s="40"/>
      <c r="M2" s="40"/>
      <c r="N2" s="40"/>
      <c r="O2" s="40"/>
      <c r="P2" s="40"/>
      <c r="Q2" s="40"/>
      <c r="R2" s="40"/>
    </row>
    <row r="3" spans="2:18" ht="19.5" customHeight="1" x14ac:dyDescent="0.2">
      <c r="B3" s="41" t="s">
        <v>337</v>
      </c>
      <c r="C3" s="41"/>
      <c r="D3" s="41"/>
      <c r="E3" s="41"/>
      <c r="F3" s="41"/>
      <c r="G3" s="41"/>
      <c r="H3" s="41"/>
      <c r="I3" s="41"/>
      <c r="J3" s="41"/>
      <c r="K3" s="41"/>
      <c r="L3" s="41"/>
      <c r="M3" s="41"/>
      <c r="N3" s="41"/>
      <c r="O3" s="41"/>
      <c r="P3" s="41"/>
      <c r="Q3" s="41"/>
      <c r="R3" s="41"/>
    </row>
    <row r="4" spans="2:18" ht="18" customHeight="1" x14ac:dyDescent="0.2">
      <c r="B4" s="41" t="s">
        <v>338</v>
      </c>
      <c r="C4" s="41"/>
      <c r="D4" s="41"/>
      <c r="E4" s="41"/>
      <c r="F4" s="41"/>
      <c r="G4" s="41"/>
      <c r="H4" s="41"/>
      <c r="I4" s="41"/>
      <c r="J4" s="41"/>
      <c r="K4" s="41"/>
      <c r="L4" s="41"/>
      <c r="M4" s="41"/>
      <c r="N4" s="41"/>
      <c r="O4" s="41"/>
      <c r="P4" s="41"/>
      <c r="Q4" s="41"/>
      <c r="R4" s="41"/>
    </row>
    <row r="5" spans="2:18" x14ac:dyDescent="0.2">
      <c r="B5" s="20" t="s">
        <v>102</v>
      </c>
    </row>
    <row r="7" spans="2:18" ht="25.5" customHeight="1" x14ac:dyDescent="0.2">
      <c r="B7" s="39" t="s">
        <v>339</v>
      </c>
      <c r="C7" s="39"/>
      <c r="D7" s="39"/>
      <c r="E7" s="39"/>
      <c r="F7" s="39"/>
      <c r="G7" s="39"/>
      <c r="H7" s="39"/>
      <c r="I7" s="39"/>
      <c r="J7" s="39"/>
      <c r="K7" s="39"/>
      <c r="L7" s="39"/>
      <c r="M7" s="39"/>
      <c r="N7" s="39"/>
      <c r="O7" s="39"/>
      <c r="P7" s="39"/>
      <c r="Q7" s="39"/>
      <c r="R7" s="39"/>
    </row>
    <row r="8" spans="2:18" ht="30" customHeight="1" x14ac:dyDescent="0.2">
      <c r="B8" s="2" t="s">
        <v>104</v>
      </c>
      <c r="C8" s="2" t="s">
        <v>50</v>
      </c>
      <c r="D8" s="2" t="s">
        <v>340</v>
      </c>
      <c r="E8" s="2" t="s">
        <v>341</v>
      </c>
      <c r="F8" s="2" t="s">
        <v>342</v>
      </c>
      <c r="G8" s="2" t="s">
        <v>343</v>
      </c>
      <c r="H8" s="2" t="s">
        <v>344</v>
      </c>
      <c r="I8" s="2" t="s">
        <v>345</v>
      </c>
      <c r="J8" s="2" t="s">
        <v>346</v>
      </c>
      <c r="K8" s="2" t="s">
        <v>347</v>
      </c>
      <c r="L8" s="2" t="s">
        <v>348</v>
      </c>
      <c r="M8" s="2" t="s">
        <v>349</v>
      </c>
      <c r="N8" s="2" t="s">
        <v>350</v>
      </c>
      <c r="O8" s="2" t="s">
        <v>351</v>
      </c>
      <c r="P8" s="2" t="s">
        <v>352</v>
      </c>
      <c r="Q8" s="2" t="s">
        <v>353</v>
      </c>
      <c r="R8" s="2" t="s">
        <v>57</v>
      </c>
    </row>
    <row r="9" spans="2:18" ht="43.5" customHeight="1" x14ac:dyDescent="0.2">
      <c r="B9" s="21">
        <v>1</v>
      </c>
      <c r="C9" s="1" t="s">
        <v>60</v>
      </c>
      <c r="D9" s="5" t="s">
        <v>354</v>
      </c>
      <c r="E9" s="28">
        <f>IF(ISNUMBER(CNPS!F41),CNPS!F41,"N/A")</f>
        <v>45698</v>
      </c>
      <c r="F9" s="19">
        <f>IF(CNPS!G41="","",CNPS!G41)</f>
        <v>21578849</v>
      </c>
      <c r="G9" s="5" t="s">
        <v>355</v>
      </c>
      <c r="H9" s="24">
        <f>IF(ISNUMBER(E9),EDATE(E9,12),"")</f>
        <v>46063</v>
      </c>
      <c r="I9" s="29">
        <f t="shared" ref="I9:I20" ca="1" si="0">IF(ISNUMBER(H9),H9-TODAY(),"")</f>
        <v>-251</v>
      </c>
      <c r="J9" s="24">
        <f t="shared" ref="J9:J20" si="1">IF(ISNUMBER(H9),H9-90,"")</f>
        <v>45973</v>
      </c>
      <c r="K9" s="24">
        <f t="shared" ref="K9:K20" si="2">IF(ISNUMBER(H9),H9-30,"")</f>
        <v>46033</v>
      </c>
      <c r="L9" s="30" t="str">
        <f t="shared" ref="L9:L20" ca="1" si="3">IF(C9="","",IF(M9="Renouvelé","Renouvelé",IF(M9="Perdu","Perdu",IF(NOT(ISNUMBER(H9)),"Date à confirmer",IF(H9&lt;TODAY(),"Échu - urgent",IF(H9-TODAY()&lt;=90,"À relancer (≤ 90 j)","À venir"))))))</f>
        <v>Échu - urgent</v>
      </c>
      <c r="M9" s="21" t="s">
        <v>356</v>
      </c>
      <c r="N9" s="3"/>
      <c r="O9" s="31"/>
      <c r="P9" s="5" t="s">
        <v>164</v>
      </c>
      <c r="Q9" s="5" t="s">
        <v>357</v>
      </c>
      <c r="R9" s="10" t="s">
        <v>61</v>
      </c>
    </row>
    <row r="10" spans="2:18" ht="43.5" customHeight="1" x14ac:dyDescent="0.2">
      <c r="B10" s="21">
        <v>2</v>
      </c>
      <c r="C10" s="1" t="s">
        <v>68</v>
      </c>
      <c r="D10" s="5" t="s">
        <v>358</v>
      </c>
      <c r="E10" s="28">
        <f>IF(ISNUMBER(NEURONES!F35),NEURONES!F35,"N/A")</f>
        <v>45890</v>
      </c>
      <c r="F10" s="19">
        <f>IF(NEURONES!G35="","",NEURONES!G35)</f>
        <v>7383000</v>
      </c>
      <c r="G10" s="5" t="s">
        <v>359</v>
      </c>
      <c r="H10" s="24">
        <f>IF(ISNUMBER(E10),EDATE(E10,12),"")</f>
        <v>46255</v>
      </c>
      <c r="I10" s="29">
        <f t="shared" ca="1" si="0"/>
        <v>-59</v>
      </c>
      <c r="J10" s="24">
        <f t="shared" si="1"/>
        <v>46165</v>
      </c>
      <c r="K10" s="24">
        <f t="shared" si="2"/>
        <v>46225</v>
      </c>
      <c r="L10" s="30" t="str">
        <f t="shared" ca="1" si="3"/>
        <v>Échu - urgent</v>
      </c>
      <c r="M10" s="21" t="s">
        <v>360</v>
      </c>
      <c r="N10" s="3"/>
      <c r="O10" s="31"/>
      <c r="P10" s="5" t="s">
        <v>361</v>
      </c>
      <c r="Q10" s="5" t="s">
        <v>362</v>
      </c>
      <c r="R10" s="10" t="s">
        <v>47</v>
      </c>
    </row>
    <row r="11" spans="2:18" ht="43.5" customHeight="1" x14ac:dyDescent="0.2">
      <c r="B11" s="21">
        <v>3</v>
      </c>
      <c r="C11" s="1" t="s">
        <v>58</v>
      </c>
      <c r="D11" s="5" t="s">
        <v>354</v>
      </c>
      <c r="E11" s="28">
        <f>IF(ISNUMBER(CNAM!F41),CNAM!F41,"N/A")</f>
        <v>46080</v>
      </c>
      <c r="F11" s="19">
        <f>IF(CNAM!G41="","",CNAM!G41)</f>
        <v>66309707</v>
      </c>
      <c r="G11" s="5" t="s">
        <v>363</v>
      </c>
      <c r="H11" s="24">
        <f>IF(ISNUMBER(E11),EDATE(E11,12),"")</f>
        <v>46445</v>
      </c>
      <c r="I11" s="29">
        <f t="shared" ca="1" si="0"/>
        <v>131</v>
      </c>
      <c r="J11" s="24">
        <f t="shared" si="1"/>
        <v>46355</v>
      </c>
      <c r="K11" s="24">
        <f t="shared" si="2"/>
        <v>46415</v>
      </c>
      <c r="L11" s="30" t="str">
        <f t="shared" ca="1" si="3"/>
        <v>À venir</v>
      </c>
      <c r="M11" s="21" t="s">
        <v>364</v>
      </c>
      <c r="N11" s="3"/>
      <c r="O11" s="31"/>
      <c r="P11" s="5" t="s">
        <v>365</v>
      </c>
      <c r="Q11" s="5" t="s">
        <v>366</v>
      </c>
      <c r="R11" s="10" t="s">
        <v>59</v>
      </c>
    </row>
    <row r="12" spans="2:18" ht="43.5" customHeight="1" x14ac:dyDescent="0.2">
      <c r="B12" s="21">
        <v>4</v>
      </c>
      <c r="C12" s="1" t="s">
        <v>62</v>
      </c>
      <c r="D12" s="5" t="s">
        <v>354</v>
      </c>
      <c r="E12" s="28">
        <f>IF(ISNUMBER(FER!F34),FER!F34,"N/A")</f>
        <v>46197</v>
      </c>
      <c r="F12" s="19">
        <f>IF(FER!G34="","",FER!G34)</f>
        <v>28766400</v>
      </c>
      <c r="G12" s="5" t="s">
        <v>367</v>
      </c>
      <c r="H12" s="24">
        <f>IF(ISNUMBER(E12),EDATE(E12,12),"")</f>
        <v>46562</v>
      </c>
      <c r="I12" s="29">
        <f t="shared" ca="1" si="0"/>
        <v>248</v>
      </c>
      <c r="J12" s="24">
        <f t="shared" si="1"/>
        <v>46472</v>
      </c>
      <c r="K12" s="24">
        <f t="shared" si="2"/>
        <v>46532</v>
      </c>
      <c r="L12" s="30" t="str">
        <f t="shared" ca="1" si="3"/>
        <v>À venir</v>
      </c>
      <c r="M12" s="21" t="s">
        <v>364</v>
      </c>
      <c r="N12" s="3"/>
      <c r="O12" s="31"/>
      <c r="P12" s="5" t="s">
        <v>368</v>
      </c>
      <c r="Q12" s="5"/>
      <c r="R12" s="10" t="s">
        <v>63</v>
      </c>
    </row>
    <row r="13" spans="2:18" ht="43.5" customHeight="1" x14ac:dyDescent="0.2">
      <c r="B13" s="21">
        <v>5</v>
      </c>
      <c r="C13" s="1" t="s">
        <v>64</v>
      </c>
      <c r="D13" s="5" t="s">
        <v>354</v>
      </c>
      <c r="E13" s="28">
        <f>IF(ISNUMBER(NSIA!F45),NSIA!F45,"N/A")</f>
        <v>46283</v>
      </c>
      <c r="F13" s="19">
        <f>IF(NSIA!G45="","",NSIA!G45)</f>
        <v>1610068</v>
      </c>
      <c r="G13" s="5" t="s">
        <v>369</v>
      </c>
      <c r="H13" s="24">
        <f>IF(ISNUMBER(E13),EDATE(E13,12),"")</f>
        <v>46648</v>
      </c>
      <c r="I13" s="29">
        <f t="shared" ca="1" si="0"/>
        <v>334</v>
      </c>
      <c r="J13" s="24">
        <f t="shared" si="1"/>
        <v>46558</v>
      </c>
      <c r="K13" s="24">
        <f t="shared" si="2"/>
        <v>46618</v>
      </c>
      <c r="L13" s="30" t="str">
        <f t="shared" ca="1" si="3"/>
        <v>À venir</v>
      </c>
      <c r="M13" s="21" t="s">
        <v>364</v>
      </c>
      <c r="N13" s="3"/>
      <c r="O13" s="31"/>
      <c r="P13" s="5"/>
      <c r="Q13" s="5" t="s">
        <v>370</v>
      </c>
      <c r="R13" s="10" t="s">
        <v>65</v>
      </c>
    </row>
    <row r="14" spans="2:18" ht="43.5" customHeight="1" x14ac:dyDescent="0.2">
      <c r="B14" s="21">
        <v>6</v>
      </c>
      <c r="C14" s="1" t="s">
        <v>58</v>
      </c>
      <c r="D14" s="5" t="s">
        <v>371</v>
      </c>
      <c r="E14" s="28" t="str">
        <f>IF(ISNUMBER(CNAM!F42),CNAM!F42,"N/A")</f>
        <v>N/A</v>
      </c>
      <c r="F14" s="19">
        <f>IF(CNAM!G42="","",CNAM!G42)</f>
        <v>18000000</v>
      </c>
      <c r="G14" s="5" t="s">
        <v>372</v>
      </c>
      <c r="H14" s="31"/>
      <c r="I14" s="29" t="str">
        <f t="shared" ca="1" si="0"/>
        <v/>
      </c>
      <c r="J14" s="24" t="str">
        <f t="shared" si="1"/>
        <v/>
      </c>
      <c r="K14" s="24" t="str">
        <f t="shared" si="2"/>
        <v/>
      </c>
      <c r="L14" s="30" t="str">
        <f t="shared" ca="1" si="3"/>
        <v>Date à confirmer</v>
      </c>
      <c r="M14" s="21" t="s">
        <v>364</v>
      </c>
      <c r="N14" s="3"/>
      <c r="O14" s="31"/>
      <c r="P14" s="5" t="s">
        <v>373</v>
      </c>
      <c r="Q14" s="5" t="s">
        <v>374</v>
      </c>
      <c r="R14" s="10" t="s">
        <v>59</v>
      </c>
    </row>
    <row r="15" spans="2:18" ht="19.5" customHeight="1" x14ac:dyDescent="0.2">
      <c r="B15" s="21" t="str">
        <f t="shared" ref="B15:B20" si="4">IF(C15="","",ROW()-8)</f>
        <v/>
      </c>
      <c r="C15" s="5"/>
      <c r="D15" s="5"/>
      <c r="E15" s="24"/>
      <c r="F15" s="12"/>
      <c r="G15" s="5"/>
      <c r="H15" s="24" t="str">
        <f t="shared" ref="H15:H20" si="5">IF(ISNUMBER(E15),EDATE(E15,12),"")</f>
        <v/>
      </c>
      <c r="I15" s="29" t="str">
        <f t="shared" ca="1" si="0"/>
        <v/>
      </c>
      <c r="J15" s="24" t="str">
        <f t="shared" si="1"/>
        <v/>
      </c>
      <c r="K15" s="24" t="str">
        <f t="shared" si="2"/>
        <v/>
      </c>
      <c r="L15" s="30" t="str">
        <f t="shared" ca="1" si="3"/>
        <v/>
      </c>
      <c r="M15" s="5"/>
      <c r="N15" s="5"/>
      <c r="O15" s="24"/>
      <c r="P15" s="5"/>
      <c r="Q15" s="5"/>
      <c r="R15" s="5"/>
    </row>
    <row r="16" spans="2:18" ht="19.5" customHeight="1" x14ac:dyDescent="0.2">
      <c r="B16" s="21" t="str">
        <f t="shared" si="4"/>
        <v/>
      </c>
      <c r="C16" s="5"/>
      <c r="D16" s="5"/>
      <c r="E16" s="24"/>
      <c r="F16" s="12"/>
      <c r="G16" s="5"/>
      <c r="H16" s="24" t="str">
        <f t="shared" si="5"/>
        <v/>
      </c>
      <c r="I16" s="29" t="str">
        <f t="shared" ca="1" si="0"/>
        <v/>
      </c>
      <c r="J16" s="24" t="str">
        <f t="shared" si="1"/>
        <v/>
      </c>
      <c r="K16" s="24" t="str">
        <f t="shared" si="2"/>
        <v/>
      </c>
      <c r="L16" s="30" t="str">
        <f t="shared" ca="1" si="3"/>
        <v/>
      </c>
      <c r="M16" s="5"/>
      <c r="N16" s="5"/>
      <c r="O16" s="24"/>
      <c r="P16" s="5"/>
      <c r="Q16" s="5"/>
      <c r="R16" s="5"/>
    </row>
    <row r="17" spans="2:18" ht="19.5" customHeight="1" x14ac:dyDescent="0.2">
      <c r="B17" s="21" t="str">
        <f t="shared" si="4"/>
        <v/>
      </c>
      <c r="C17" s="5"/>
      <c r="D17" s="5"/>
      <c r="E17" s="24"/>
      <c r="F17" s="12"/>
      <c r="G17" s="5"/>
      <c r="H17" s="24" t="str">
        <f t="shared" si="5"/>
        <v/>
      </c>
      <c r="I17" s="29" t="str">
        <f t="shared" ca="1" si="0"/>
        <v/>
      </c>
      <c r="J17" s="24" t="str">
        <f t="shared" si="1"/>
        <v/>
      </c>
      <c r="K17" s="24" t="str">
        <f t="shared" si="2"/>
        <v/>
      </c>
      <c r="L17" s="30" t="str">
        <f t="shared" ca="1" si="3"/>
        <v/>
      </c>
      <c r="M17" s="5"/>
      <c r="N17" s="5"/>
      <c r="O17" s="24"/>
      <c r="P17" s="5"/>
      <c r="Q17" s="5"/>
      <c r="R17" s="5"/>
    </row>
    <row r="18" spans="2:18" ht="19.5" customHeight="1" x14ac:dyDescent="0.2">
      <c r="B18" s="21" t="str">
        <f t="shared" si="4"/>
        <v/>
      </c>
      <c r="C18" s="5"/>
      <c r="D18" s="5"/>
      <c r="E18" s="24"/>
      <c r="F18" s="12"/>
      <c r="G18" s="5"/>
      <c r="H18" s="24" t="str">
        <f t="shared" si="5"/>
        <v/>
      </c>
      <c r="I18" s="29" t="str">
        <f t="shared" ca="1" si="0"/>
        <v/>
      </c>
      <c r="J18" s="24" t="str">
        <f t="shared" si="1"/>
        <v/>
      </c>
      <c r="K18" s="24" t="str">
        <f t="shared" si="2"/>
        <v/>
      </c>
      <c r="L18" s="30" t="str">
        <f t="shared" ca="1" si="3"/>
        <v/>
      </c>
      <c r="M18" s="5"/>
      <c r="N18" s="5"/>
      <c r="O18" s="24"/>
      <c r="P18" s="5"/>
      <c r="Q18" s="5"/>
      <c r="R18" s="5"/>
    </row>
    <row r="19" spans="2:18" ht="19.5" customHeight="1" x14ac:dyDescent="0.2">
      <c r="B19" s="21" t="str">
        <f t="shared" si="4"/>
        <v/>
      </c>
      <c r="C19" s="5"/>
      <c r="D19" s="5"/>
      <c r="E19" s="24"/>
      <c r="F19" s="12"/>
      <c r="G19" s="5"/>
      <c r="H19" s="24" t="str">
        <f t="shared" si="5"/>
        <v/>
      </c>
      <c r="I19" s="29" t="str">
        <f t="shared" ca="1" si="0"/>
        <v/>
      </c>
      <c r="J19" s="24" t="str">
        <f t="shared" si="1"/>
        <v/>
      </c>
      <c r="K19" s="24" t="str">
        <f t="shared" si="2"/>
        <v/>
      </c>
      <c r="L19" s="30" t="str">
        <f t="shared" ca="1" si="3"/>
        <v/>
      </c>
      <c r="M19" s="5"/>
      <c r="N19" s="5"/>
      <c r="O19" s="24"/>
      <c r="P19" s="5"/>
      <c r="Q19" s="5"/>
      <c r="R19" s="5"/>
    </row>
    <row r="20" spans="2:18" ht="19.5" customHeight="1" x14ac:dyDescent="0.2">
      <c r="B20" s="21" t="str">
        <f t="shared" si="4"/>
        <v/>
      </c>
      <c r="C20" s="5"/>
      <c r="D20" s="5"/>
      <c r="E20" s="24"/>
      <c r="F20" s="12"/>
      <c r="G20" s="5"/>
      <c r="H20" s="24" t="str">
        <f t="shared" si="5"/>
        <v/>
      </c>
      <c r="I20" s="29" t="str">
        <f t="shared" ca="1" si="0"/>
        <v/>
      </c>
      <c r="J20" s="24" t="str">
        <f t="shared" si="1"/>
        <v/>
      </c>
      <c r="K20" s="24" t="str">
        <f t="shared" si="2"/>
        <v/>
      </c>
      <c r="L20" s="30" t="str">
        <f t="shared" ca="1" si="3"/>
        <v/>
      </c>
      <c r="M20" s="5"/>
      <c r="N20" s="5"/>
      <c r="O20" s="24"/>
      <c r="P20" s="5"/>
      <c r="Q20" s="5"/>
      <c r="R20" s="5"/>
    </row>
    <row r="21" spans="2:18" ht="19.5" customHeight="1" x14ac:dyDescent="0.2">
      <c r="B21" s="42" t="s">
        <v>375</v>
      </c>
      <c r="C21" s="42"/>
      <c r="D21" s="42"/>
      <c r="E21" s="42"/>
      <c r="F21" s="15">
        <f>SUM(F9:F20)</f>
        <v>143648024</v>
      </c>
      <c r="G21" s="17"/>
      <c r="H21" s="17"/>
      <c r="I21" s="17"/>
      <c r="J21" s="17"/>
      <c r="K21" s="17"/>
      <c r="L21" s="17"/>
      <c r="M21" s="17"/>
      <c r="N21" s="17"/>
      <c r="O21" s="17"/>
      <c r="P21" s="17"/>
      <c r="Q21" s="17"/>
      <c r="R21" s="17"/>
    </row>
  </sheetData>
  <autoFilter ref="B8:R20" xr:uid="{00000000-0009-0000-0000-000002000000}"/>
  <mergeCells count="5">
    <mergeCell ref="B2:R2"/>
    <mergeCell ref="B3:R3"/>
    <mergeCell ref="B4:R4"/>
    <mergeCell ref="B7:R7"/>
    <mergeCell ref="B21:E21"/>
  </mergeCells>
  <conditionalFormatting sqref="L9:L20">
    <cfRule type="expression" dxfId="29" priority="2">
      <formula>LEFT($L9,4)="Échu"</formula>
    </cfRule>
    <cfRule type="expression" dxfId="28" priority="3">
      <formula>LEFT($L9,9)="À relancer"</formula>
    </cfRule>
    <cfRule type="expression" dxfId="27" priority="4">
      <formula>OR($L9="À venir",$L9="Renouvelé")</formula>
    </cfRule>
    <cfRule type="expression" dxfId="26" priority="5">
      <formula>$L9="Date à confirmer"</formula>
    </cfRule>
  </conditionalFormatting>
  <hyperlinks>
    <hyperlink ref="B5" r:id="rId1" location="'Synthèse'!A1" xr:uid="{00000000-0004-0000-0200-000000000000}"/>
    <hyperlink ref="R9" r:id="rId2" location="'CNPS'!A1" xr:uid="{00000000-0004-0000-0200-000001000000}"/>
    <hyperlink ref="R10" r:id="rId3" location="'NEURONES'!A1" xr:uid="{00000000-0004-0000-0200-000002000000}"/>
    <hyperlink ref="R11" r:id="rId4" location="'CNAM'!A1" xr:uid="{00000000-0004-0000-0200-000003000000}"/>
    <hyperlink ref="R12" r:id="rId5" location="'FER'!A1" xr:uid="{00000000-0004-0000-0200-000004000000}"/>
    <hyperlink ref="R13" r:id="rId6" location="'NSIA'!A1" xr:uid="{00000000-0004-0000-0200-000005000000}"/>
    <hyperlink ref="R14" r:id="rId7" location="'CNAM'!A1" xr:uid="{00000000-0004-0000-0200-000006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showErrorMessage="1" error="Choisir une valeur dans la liste" xr:uid="{00000000-0002-0000-0200-000000000000}">
          <x14:formula1>
            <xm:f>Listes!$K$2:$K$7</xm:f>
          </x14:formula1>
          <x14:formula2>
            <xm:f>0</xm:f>
          </x14:formula2>
          <xm:sqref>M9:M20</xm:sqref>
        </x14:dataValidation>
        <x14:dataValidation type="list" allowBlank="1" showErrorMessage="1" error="Choisir une valeur dans la liste" xr:uid="{00000000-0002-0000-0200-000001000000}">
          <x14:formula1>
            <xm:f>Listes!$C$2:$C$5</xm:f>
          </x14:formula1>
          <x14:formula2>
            <xm:f>0</xm:f>
          </x14:formula2>
          <xm:sqref>N9:N20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8C9B0"/>
    <pageSetUpPr fitToPage="1"/>
  </sheetPr>
  <dimension ref="B2:N61"/>
  <sheetViews>
    <sheetView showGridLines="0" tabSelected="1" zoomScale="291" zoomScaleNormal="291" workbookViewId="0">
      <pane xSplit="2" ySplit="5" topLeftCell="C40" activePane="bottomRight" state="frozen"/>
      <selection pane="topRight" activeCell="C1" sqref="C1"/>
      <selection pane="bottomLeft" activeCell="A6" sqref="A6"/>
      <selection pane="bottomRight" activeCell="E34" sqref="E34:F34"/>
    </sheetView>
  </sheetViews>
  <sheetFormatPr baseColWidth="10" defaultColWidth="8.6640625" defaultRowHeight="15" x14ac:dyDescent="0.2"/>
  <cols>
    <col min="1" max="1" width="3" customWidth="1"/>
    <col min="2" max="2" width="34" customWidth="1"/>
    <col min="3" max="3" width="20" customWidth="1"/>
    <col min="4" max="4" width="14" customWidth="1"/>
    <col min="5" max="5" width="10" customWidth="1"/>
    <col min="6" max="6" width="13" customWidth="1"/>
    <col min="7" max="7" width="15" customWidth="1"/>
    <col min="8" max="9" width="14" customWidth="1"/>
    <col min="10" max="13" width="15" customWidth="1"/>
    <col min="14" max="14" width="46" customWidth="1"/>
  </cols>
  <sheetData>
    <row r="2" spans="2:14" ht="34.5" customHeight="1" x14ac:dyDescent="0.2">
      <c r="B2" s="40" t="s">
        <v>376</v>
      </c>
      <c r="C2" s="40"/>
      <c r="D2" s="40"/>
      <c r="E2" s="40"/>
      <c r="F2" s="40"/>
      <c r="G2" s="40"/>
      <c r="H2" s="40"/>
      <c r="I2" s="40"/>
      <c r="J2" s="40"/>
      <c r="K2" s="40"/>
      <c r="L2" s="40"/>
      <c r="M2" s="40"/>
      <c r="N2" s="40"/>
    </row>
    <row r="3" spans="2:14" ht="19.5" customHeight="1" x14ac:dyDescent="0.2">
      <c r="B3" s="41" t="s">
        <v>377</v>
      </c>
      <c r="C3" s="41"/>
      <c r="D3" s="41"/>
      <c r="E3" s="41"/>
      <c r="F3" s="41"/>
      <c r="G3" s="41"/>
      <c r="H3" s="41"/>
      <c r="I3" s="41"/>
      <c r="J3" s="41"/>
      <c r="K3" s="41"/>
      <c r="L3" s="41"/>
      <c r="M3" s="41"/>
      <c r="N3" s="41"/>
    </row>
    <row r="4" spans="2:14" ht="18" customHeight="1" x14ac:dyDescent="0.2">
      <c r="B4" s="41" t="s">
        <v>378</v>
      </c>
      <c r="C4" s="41"/>
      <c r="D4" s="41"/>
      <c r="E4" s="41"/>
      <c r="F4" s="41"/>
      <c r="G4" s="41"/>
      <c r="H4" s="41"/>
      <c r="I4" s="41"/>
      <c r="J4" s="41"/>
      <c r="K4" s="41"/>
      <c r="L4" s="41"/>
      <c r="M4" s="41"/>
      <c r="N4" s="41"/>
    </row>
    <row r="5" spans="2:14" x14ac:dyDescent="0.2">
      <c r="B5" s="20" t="s">
        <v>102</v>
      </c>
    </row>
    <row r="7" spans="2:14" ht="25.5" customHeight="1" x14ac:dyDescent="0.2">
      <c r="B7" s="39" t="s">
        <v>379</v>
      </c>
      <c r="C7" s="39"/>
      <c r="D7" s="39"/>
      <c r="E7" s="39"/>
      <c r="F7" s="39"/>
      <c r="G7" s="39"/>
      <c r="H7" s="39"/>
      <c r="I7" s="39"/>
      <c r="J7" s="39"/>
      <c r="K7" s="39"/>
      <c r="L7" s="39"/>
      <c r="M7" s="39"/>
      <c r="N7" s="39"/>
    </row>
    <row r="8" spans="2:14" ht="18" customHeight="1" x14ac:dyDescent="0.2">
      <c r="B8" s="6" t="s">
        <v>380</v>
      </c>
      <c r="C8" s="38" t="s">
        <v>381</v>
      </c>
      <c r="D8" s="38"/>
      <c r="E8" s="38"/>
      <c r="F8" s="38"/>
      <c r="G8" s="38"/>
      <c r="H8" s="38"/>
      <c r="I8" s="38"/>
      <c r="J8" s="38"/>
      <c r="K8" s="38"/>
      <c r="L8" s="38"/>
      <c r="M8" s="38"/>
      <c r="N8" s="38"/>
    </row>
    <row r="9" spans="2:14" ht="18" customHeight="1" x14ac:dyDescent="0.2">
      <c r="B9" s="6" t="s">
        <v>382</v>
      </c>
      <c r="C9" s="38" t="s">
        <v>383</v>
      </c>
      <c r="D9" s="38"/>
      <c r="E9" s="38"/>
      <c r="F9" s="38"/>
      <c r="G9" s="38"/>
      <c r="H9" s="38"/>
      <c r="I9" s="38"/>
      <c r="J9" s="38"/>
      <c r="K9" s="38"/>
      <c r="L9" s="38"/>
      <c r="M9" s="38"/>
      <c r="N9" s="38"/>
    </row>
    <row r="10" spans="2:14" ht="18" customHeight="1" x14ac:dyDescent="0.2">
      <c r="B10" s="6" t="s">
        <v>384</v>
      </c>
      <c r="C10" s="51" t="s">
        <v>2522</v>
      </c>
      <c r="D10" s="51"/>
      <c r="E10" s="51"/>
      <c r="F10" s="51"/>
      <c r="G10" s="51"/>
      <c r="H10" s="51"/>
      <c r="I10" s="51"/>
      <c r="J10" s="51"/>
      <c r="K10" s="51"/>
      <c r="L10" s="51"/>
      <c r="M10" s="51"/>
      <c r="N10" s="51"/>
    </row>
    <row r="11" spans="2:14" ht="18" customHeight="1" x14ac:dyDescent="0.2">
      <c r="B11" s="6" t="s">
        <v>385</v>
      </c>
      <c r="C11" s="51" t="s">
        <v>2521</v>
      </c>
      <c r="D11" s="51"/>
      <c r="E11" s="51"/>
      <c r="F11" s="51"/>
      <c r="G11" s="51"/>
      <c r="H11" s="51"/>
      <c r="I11" s="51"/>
      <c r="J11" s="51"/>
      <c r="K11" s="51"/>
      <c r="L11" s="51"/>
      <c r="M11" s="51"/>
      <c r="N11" s="51"/>
    </row>
    <row r="12" spans="2:14" ht="18" customHeight="1" x14ac:dyDescent="0.2">
      <c r="B12" s="6" t="s">
        <v>386</v>
      </c>
      <c r="C12" s="38" t="s">
        <v>2524</v>
      </c>
      <c r="D12" s="38"/>
      <c r="E12" s="38"/>
      <c r="F12" s="38"/>
      <c r="G12" s="38"/>
      <c r="H12" s="38"/>
      <c r="I12" s="38"/>
      <c r="J12" s="38"/>
      <c r="K12" s="38"/>
      <c r="L12" s="38"/>
      <c r="M12" s="38"/>
      <c r="N12" s="38"/>
    </row>
    <row r="13" spans="2:14" ht="18" customHeight="1" x14ac:dyDescent="0.2">
      <c r="B13" s="6" t="s">
        <v>387</v>
      </c>
      <c r="C13" s="38" t="s">
        <v>2514</v>
      </c>
      <c r="D13" s="38"/>
      <c r="E13" s="38"/>
      <c r="F13" s="38"/>
      <c r="G13" s="38"/>
      <c r="H13" s="38"/>
      <c r="I13" s="38"/>
      <c r="J13" s="38"/>
      <c r="K13" s="38"/>
      <c r="L13" s="38"/>
      <c r="M13" s="38"/>
      <c r="N13" s="38"/>
    </row>
    <row r="14" spans="2:14" ht="18" customHeight="1" x14ac:dyDescent="0.2">
      <c r="B14" s="6" t="s">
        <v>388</v>
      </c>
      <c r="C14" s="51" t="s">
        <v>2485</v>
      </c>
      <c r="D14" s="51"/>
      <c r="E14" s="51"/>
      <c r="F14" s="51"/>
      <c r="G14" s="51"/>
      <c r="H14" s="51"/>
      <c r="I14" s="51"/>
      <c r="J14" s="51"/>
      <c r="K14" s="51"/>
      <c r="L14" s="51"/>
      <c r="M14" s="51"/>
      <c r="N14" s="51"/>
    </row>
    <row r="15" spans="2:14" ht="18" customHeight="1" x14ac:dyDescent="0.2">
      <c r="B15" s="6" t="s">
        <v>389</v>
      </c>
      <c r="C15" s="51">
        <v>4</v>
      </c>
      <c r="D15" s="51"/>
      <c r="E15" s="51"/>
      <c r="F15" s="51"/>
      <c r="G15" s="51"/>
      <c r="H15" s="51"/>
      <c r="I15" s="51"/>
      <c r="J15" s="51"/>
      <c r="K15" s="51"/>
      <c r="L15" s="51"/>
      <c r="M15" s="51"/>
      <c r="N15" s="51"/>
    </row>
    <row r="16" spans="2:14" ht="18" customHeight="1" x14ac:dyDescent="0.2">
      <c r="B16" s="6" t="s">
        <v>390</v>
      </c>
      <c r="C16" s="52"/>
      <c r="D16" s="52"/>
      <c r="E16" s="52"/>
      <c r="F16" s="52"/>
      <c r="G16" s="52"/>
      <c r="H16" s="52"/>
      <c r="I16" s="52"/>
      <c r="J16" s="52"/>
      <c r="K16" s="52"/>
      <c r="L16" s="52"/>
      <c r="M16" s="52"/>
      <c r="N16" s="52"/>
    </row>
    <row r="17" spans="2:14" ht="18" customHeight="1" x14ac:dyDescent="0.2">
      <c r="B17" s="6" t="s">
        <v>391</v>
      </c>
      <c r="C17" s="52" t="s">
        <v>2523</v>
      </c>
      <c r="D17" s="52"/>
      <c r="E17" s="52"/>
      <c r="F17" s="52"/>
      <c r="G17" s="52"/>
      <c r="H17" s="52"/>
      <c r="I17" s="52"/>
      <c r="J17" s="52"/>
      <c r="K17" s="52"/>
      <c r="L17" s="52"/>
      <c r="M17" s="52"/>
      <c r="N17" s="52"/>
    </row>
    <row r="18" spans="2:14" ht="30" customHeight="1" x14ac:dyDescent="0.2">
      <c r="B18" s="6" t="s">
        <v>392</v>
      </c>
      <c r="C18" s="38" t="s">
        <v>393</v>
      </c>
      <c r="D18" s="38"/>
      <c r="E18" s="38"/>
      <c r="F18" s="38"/>
      <c r="G18" s="38"/>
      <c r="H18" s="38"/>
      <c r="I18" s="38"/>
      <c r="J18" s="38"/>
      <c r="K18" s="38"/>
      <c r="L18" s="38"/>
      <c r="M18" s="38"/>
      <c r="N18" s="38"/>
    </row>
    <row r="20" spans="2:14" ht="25.5" customHeight="1" x14ac:dyDescent="0.2">
      <c r="B20" s="39" t="s">
        <v>394</v>
      </c>
      <c r="C20" s="39"/>
      <c r="D20" s="39"/>
      <c r="E20" s="39"/>
      <c r="F20" s="39"/>
      <c r="G20" s="39"/>
      <c r="H20" s="39"/>
      <c r="I20" s="39"/>
      <c r="J20" s="39"/>
      <c r="K20" s="39"/>
      <c r="L20" s="39"/>
      <c r="M20" s="39"/>
      <c r="N20" s="39"/>
    </row>
    <row r="21" spans="2:14" ht="30" customHeight="1" x14ac:dyDescent="0.2">
      <c r="B21" s="2" t="s">
        <v>395</v>
      </c>
      <c r="C21" s="46" t="s">
        <v>396</v>
      </c>
      <c r="D21" s="46"/>
      <c r="E21" s="2" t="s">
        <v>397</v>
      </c>
      <c r="F21" s="46" t="s">
        <v>398</v>
      </c>
      <c r="G21" s="46"/>
      <c r="H21" s="46"/>
      <c r="I21" s="46"/>
      <c r="J21" s="46"/>
      <c r="K21" s="46"/>
      <c r="L21" s="46"/>
      <c r="M21" s="46"/>
      <c r="N21" s="46"/>
    </row>
    <row r="22" spans="2:14" ht="21.75" customHeight="1" x14ac:dyDescent="0.2">
      <c r="B22" s="6" t="s">
        <v>399</v>
      </c>
      <c r="C22" s="47" t="s">
        <v>400</v>
      </c>
      <c r="D22" s="47"/>
      <c r="E22" s="21" t="s">
        <v>401</v>
      </c>
      <c r="F22" s="38" t="s">
        <v>402</v>
      </c>
      <c r="G22" s="38"/>
      <c r="H22" s="38"/>
      <c r="I22" s="38"/>
      <c r="J22" s="38"/>
      <c r="K22" s="38"/>
      <c r="L22" s="38"/>
      <c r="M22" s="38"/>
      <c r="N22" s="38"/>
    </row>
    <row r="23" spans="2:14" ht="21.75" customHeight="1" x14ac:dyDescent="0.2">
      <c r="B23" s="6" t="s">
        <v>403</v>
      </c>
      <c r="C23" s="47" t="s">
        <v>404</v>
      </c>
      <c r="D23" s="47"/>
      <c r="E23" s="21" t="s">
        <v>401</v>
      </c>
      <c r="F23" s="38" t="s">
        <v>405</v>
      </c>
      <c r="G23" s="38"/>
      <c r="H23" s="38"/>
      <c r="I23" s="38"/>
      <c r="J23" s="38"/>
      <c r="K23" s="38"/>
      <c r="L23" s="38"/>
      <c r="M23" s="38"/>
      <c r="N23" s="38"/>
    </row>
    <row r="24" spans="2:14" ht="21.75" customHeight="1" x14ac:dyDescent="0.2">
      <c r="B24" s="6" t="s">
        <v>406</v>
      </c>
      <c r="C24" s="47" t="s">
        <v>2503</v>
      </c>
      <c r="D24" s="47"/>
      <c r="E24" s="21" t="s">
        <v>401</v>
      </c>
      <c r="F24" s="38" t="s">
        <v>2504</v>
      </c>
      <c r="G24" s="38"/>
      <c r="H24" s="38"/>
      <c r="I24" s="38"/>
      <c r="J24" s="38"/>
      <c r="K24" s="38"/>
      <c r="L24" s="38"/>
      <c r="M24" s="38"/>
      <c r="N24" s="38"/>
    </row>
    <row r="25" spans="2:14" ht="21.75" customHeight="1" x14ac:dyDescent="0.2">
      <c r="B25" s="6" t="s">
        <v>408</v>
      </c>
      <c r="C25" s="48" t="s">
        <v>154</v>
      </c>
      <c r="D25" s="48"/>
      <c r="E25" s="21" t="s">
        <v>407</v>
      </c>
      <c r="F25" s="38"/>
      <c r="G25" s="38"/>
      <c r="H25" s="38"/>
      <c r="I25" s="38"/>
      <c r="J25" s="38"/>
      <c r="K25" s="38"/>
      <c r="L25" s="38"/>
      <c r="M25" s="38"/>
      <c r="N25" s="38"/>
    </row>
    <row r="27" spans="2:14" ht="25.5" customHeight="1" x14ac:dyDescent="0.2">
      <c r="B27" s="39" t="s">
        <v>409</v>
      </c>
      <c r="C27" s="39"/>
      <c r="D27" s="39"/>
      <c r="E27" s="39"/>
      <c r="F27" s="39"/>
      <c r="G27" s="39"/>
      <c r="H27" s="39"/>
      <c r="I27" s="39"/>
      <c r="J27" s="39"/>
      <c r="K27" s="39"/>
      <c r="L27" s="39"/>
      <c r="M27" s="39"/>
      <c r="N27" s="39"/>
    </row>
    <row r="28" spans="2:14" ht="30" customHeight="1" x14ac:dyDescent="0.2">
      <c r="B28" s="2" t="s">
        <v>396</v>
      </c>
      <c r="C28" s="46" t="s">
        <v>395</v>
      </c>
      <c r="D28" s="46"/>
      <c r="E28" s="46" t="s">
        <v>410</v>
      </c>
      <c r="F28" s="46"/>
      <c r="G28" s="46" t="s">
        <v>411</v>
      </c>
      <c r="H28" s="46"/>
      <c r="I28" s="46" t="s">
        <v>412</v>
      </c>
      <c r="J28" s="46"/>
      <c r="K28" s="46"/>
      <c r="L28" s="46" t="s">
        <v>353</v>
      </c>
      <c r="M28" s="46"/>
      <c r="N28" s="46"/>
    </row>
    <row r="29" spans="2:14" ht="15" customHeight="1" x14ac:dyDescent="0.2">
      <c r="B29" s="1" t="s">
        <v>400</v>
      </c>
      <c r="C29" s="43" t="s">
        <v>2517</v>
      </c>
      <c r="D29" s="43"/>
      <c r="E29" s="43" t="s">
        <v>2518</v>
      </c>
      <c r="F29" s="43"/>
      <c r="G29" s="38"/>
      <c r="H29" s="38"/>
      <c r="I29" s="38"/>
      <c r="J29" s="38"/>
      <c r="K29" s="38"/>
      <c r="L29" s="38"/>
      <c r="M29" s="38"/>
      <c r="N29" s="38"/>
    </row>
    <row r="30" spans="2:14" ht="16" customHeight="1" x14ac:dyDescent="0.2">
      <c r="B30" s="1" t="s">
        <v>2516</v>
      </c>
      <c r="C30" s="44" t="s">
        <v>2517</v>
      </c>
      <c r="D30" s="44"/>
      <c r="E30" s="43" t="s">
        <v>2518</v>
      </c>
      <c r="F30" s="43"/>
      <c r="G30" s="45"/>
      <c r="H30" s="45"/>
      <c r="I30" s="37"/>
      <c r="J30" s="37"/>
      <c r="K30" s="37"/>
      <c r="L30" s="37"/>
      <c r="M30" s="37"/>
      <c r="N30" s="37"/>
    </row>
    <row r="31" spans="2:14" ht="16" customHeight="1" x14ac:dyDescent="0.2">
      <c r="B31" s="1" t="s">
        <v>2502</v>
      </c>
      <c r="C31" s="44" t="s">
        <v>2520</v>
      </c>
      <c r="D31" s="44"/>
      <c r="E31" s="43" t="s">
        <v>2519</v>
      </c>
      <c r="F31" s="43"/>
      <c r="G31" s="45"/>
      <c r="H31" s="45"/>
      <c r="I31" s="37"/>
      <c r="J31" s="37"/>
      <c r="K31" s="37"/>
      <c r="L31" s="37"/>
      <c r="M31" s="37"/>
      <c r="N31" s="37"/>
    </row>
    <row r="32" spans="2:14" ht="16" customHeight="1" x14ac:dyDescent="0.2">
      <c r="B32" s="1" t="s">
        <v>2505</v>
      </c>
      <c r="C32" s="44" t="s">
        <v>2506</v>
      </c>
      <c r="D32" s="44"/>
      <c r="E32" s="44" t="s">
        <v>2507</v>
      </c>
      <c r="F32" s="44"/>
      <c r="G32" s="53" t="s">
        <v>2515</v>
      </c>
      <c r="H32" s="53"/>
      <c r="I32" s="37"/>
      <c r="J32" s="37"/>
      <c r="K32" s="37"/>
      <c r="L32" s="37"/>
      <c r="M32" s="37"/>
      <c r="N32" s="37"/>
    </row>
    <row r="33" spans="2:14" ht="16" customHeight="1" x14ac:dyDescent="0.2">
      <c r="B33" s="1" t="s">
        <v>2511</v>
      </c>
      <c r="C33" s="44" t="s">
        <v>2512</v>
      </c>
      <c r="D33" s="44"/>
      <c r="E33" s="44" t="s">
        <v>2509</v>
      </c>
      <c r="F33" s="44"/>
      <c r="G33" s="38"/>
      <c r="H33" s="38"/>
      <c r="I33" s="37"/>
      <c r="J33" s="37"/>
      <c r="K33" s="37"/>
      <c r="L33" s="37"/>
      <c r="M33" s="37"/>
      <c r="N33" s="37"/>
    </row>
    <row r="34" spans="2:14" ht="19" customHeight="1" x14ac:dyDescent="0.2">
      <c r="B34" s="1" t="s">
        <v>2508</v>
      </c>
      <c r="C34" s="44" t="s">
        <v>2510</v>
      </c>
      <c r="D34" s="44"/>
      <c r="E34" s="44" t="s">
        <v>2509</v>
      </c>
      <c r="F34" s="44"/>
      <c r="G34" s="53" t="s">
        <v>2513</v>
      </c>
      <c r="H34" s="53"/>
      <c r="I34" s="37"/>
      <c r="J34" s="37"/>
      <c r="K34" s="37"/>
      <c r="L34" s="37"/>
      <c r="M34" s="37"/>
      <c r="N34" s="37"/>
    </row>
    <row r="35" spans="2:14" x14ac:dyDescent="0.2">
      <c r="C35" s="44"/>
      <c r="D35" s="44"/>
      <c r="E35" s="44"/>
      <c r="F35" s="44"/>
    </row>
    <row r="36" spans="2:14" ht="25.5" customHeight="1" x14ac:dyDescent="0.2">
      <c r="B36" s="39" t="s">
        <v>414</v>
      </c>
      <c r="C36" s="39"/>
      <c r="D36" s="39"/>
      <c r="E36" s="39"/>
      <c r="F36" s="39"/>
      <c r="G36" s="39"/>
      <c r="H36" s="39"/>
      <c r="I36" s="39"/>
      <c r="J36" s="39"/>
      <c r="K36" s="39"/>
      <c r="L36" s="39"/>
      <c r="M36" s="39"/>
      <c r="N36" s="39"/>
    </row>
    <row r="37" spans="2:14" ht="30" customHeight="1" x14ac:dyDescent="0.2">
      <c r="B37" s="2" t="s">
        <v>415</v>
      </c>
      <c r="C37" s="2" t="s">
        <v>416</v>
      </c>
      <c r="D37" s="2" t="s">
        <v>109</v>
      </c>
      <c r="E37" s="2" t="s">
        <v>417</v>
      </c>
      <c r="F37" s="2" t="s">
        <v>418</v>
      </c>
      <c r="G37" s="2" t="s">
        <v>419</v>
      </c>
      <c r="H37" s="2" t="s">
        <v>420</v>
      </c>
      <c r="I37" s="2" t="s">
        <v>37</v>
      </c>
      <c r="J37" s="2" t="s">
        <v>421</v>
      </c>
      <c r="K37" s="2" t="s">
        <v>422</v>
      </c>
      <c r="L37" s="2" t="s">
        <v>423</v>
      </c>
      <c r="M37" s="2" t="s">
        <v>55</v>
      </c>
      <c r="N37" s="2" t="s">
        <v>116</v>
      </c>
    </row>
    <row r="38" spans="2:14" ht="42" customHeight="1" x14ac:dyDescent="0.2">
      <c r="B38" s="5" t="s">
        <v>424</v>
      </c>
      <c r="C38" s="5" t="s">
        <v>151</v>
      </c>
      <c r="D38" s="21" t="s">
        <v>152</v>
      </c>
      <c r="E38" s="29">
        <v>2024</v>
      </c>
      <c r="F38" s="24">
        <v>45595</v>
      </c>
      <c r="G38" s="12">
        <v>69799690</v>
      </c>
      <c r="H38" s="12"/>
      <c r="I38" s="12"/>
      <c r="J38" s="12">
        <f t="shared" ref="J38:J44" si="0">IF(G38="","",G38-N(I38))</f>
        <v>69799690</v>
      </c>
      <c r="K38" s="12">
        <f t="shared" ref="K38:K44" si="1">IF(G38="","",J38-N(H38))</f>
        <v>69799690</v>
      </c>
      <c r="L38" s="12">
        <v>69799690</v>
      </c>
      <c r="M38" s="12">
        <f t="shared" ref="M38:M44" si="2">IF(G38="","",G38-N(L38))</f>
        <v>0</v>
      </c>
      <c r="N38" s="5" t="s">
        <v>425</v>
      </c>
    </row>
    <row r="39" spans="2:14" ht="42" customHeight="1" x14ac:dyDescent="0.2">
      <c r="B39" s="5" t="s">
        <v>354</v>
      </c>
      <c r="C39" s="5" t="s">
        <v>151</v>
      </c>
      <c r="D39" s="21" t="s">
        <v>152</v>
      </c>
      <c r="E39" s="29">
        <v>2025</v>
      </c>
      <c r="F39" s="24">
        <v>45898</v>
      </c>
      <c r="G39" s="12">
        <v>66309706</v>
      </c>
      <c r="H39" s="12"/>
      <c r="I39" s="12"/>
      <c r="J39" s="12">
        <f t="shared" si="0"/>
        <v>66309706</v>
      </c>
      <c r="K39" s="12">
        <f t="shared" si="1"/>
        <v>66309706</v>
      </c>
      <c r="L39" s="12">
        <v>66309706</v>
      </c>
      <c r="M39" s="12">
        <f t="shared" si="2"/>
        <v>0</v>
      </c>
      <c r="N39" s="5" t="s">
        <v>426</v>
      </c>
    </row>
    <row r="40" spans="2:14" ht="42" customHeight="1" x14ac:dyDescent="0.2">
      <c r="B40" s="5" t="s">
        <v>371</v>
      </c>
      <c r="C40" s="5" t="s">
        <v>151</v>
      </c>
      <c r="D40" s="21" t="s">
        <v>152</v>
      </c>
      <c r="E40" s="29">
        <v>2025</v>
      </c>
      <c r="F40" s="31" t="s">
        <v>427</v>
      </c>
      <c r="G40" s="12">
        <v>18000000</v>
      </c>
      <c r="H40" s="12"/>
      <c r="I40" s="12"/>
      <c r="J40" s="12">
        <f t="shared" si="0"/>
        <v>18000000</v>
      </c>
      <c r="K40" s="12">
        <f t="shared" si="1"/>
        <v>18000000</v>
      </c>
      <c r="L40" s="12">
        <v>18000000</v>
      </c>
      <c r="M40" s="12">
        <f t="shared" si="2"/>
        <v>0</v>
      </c>
      <c r="N40" s="5" t="s">
        <v>428</v>
      </c>
    </row>
    <row r="41" spans="2:14" ht="42" customHeight="1" x14ac:dyDescent="0.2">
      <c r="B41" s="5" t="s">
        <v>429</v>
      </c>
      <c r="C41" s="5" t="s">
        <v>151</v>
      </c>
      <c r="D41" s="21" t="s">
        <v>152</v>
      </c>
      <c r="E41" s="29">
        <v>2026</v>
      </c>
      <c r="F41" s="24">
        <v>46080</v>
      </c>
      <c r="G41" s="12">
        <v>66309707</v>
      </c>
      <c r="H41" s="12">
        <v>0</v>
      </c>
      <c r="I41" s="12">
        <v>33000000</v>
      </c>
      <c r="J41" s="12">
        <f t="shared" si="0"/>
        <v>33309707</v>
      </c>
      <c r="K41" s="12">
        <f t="shared" si="1"/>
        <v>33309707</v>
      </c>
      <c r="L41" s="12">
        <v>66309707</v>
      </c>
      <c r="M41" s="12">
        <f t="shared" si="2"/>
        <v>0</v>
      </c>
      <c r="N41" s="5" t="s">
        <v>430</v>
      </c>
    </row>
    <row r="42" spans="2:14" ht="42" customHeight="1" x14ac:dyDescent="0.2">
      <c r="B42" s="5" t="s">
        <v>371</v>
      </c>
      <c r="C42" s="5" t="s">
        <v>151</v>
      </c>
      <c r="D42" s="21" t="s">
        <v>152</v>
      </c>
      <c r="E42" s="29">
        <v>2026</v>
      </c>
      <c r="F42" s="31" t="s">
        <v>427</v>
      </c>
      <c r="G42" s="12">
        <v>18000000</v>
      </c>
      <c r="H42" s="12">
        <v>500000</v>
      </c>
      <c r="I42" s="12">
        <v>6000000</v>
      </c>
      <c r="J42" s="12">
        <f t="shared" si="0"/>
        <v>12000000</v>
      </c>
      <c r="K42" s="12">
        <f t="shared" si="1"/>
        <v>11500000</v>
      </c>
      <c r="L42" s="12">
        <v>13500000</v>
      </c>
      <c r="M42" s="12">
        <f t="shared" si="2"/>
        <v>4500000</v>
      </c>
      <c r="N42" s="5" t="s">
        <v>431</v>
      </c>
    </row>
    <row r="43" spans="2:14" ht="18" customHeight="1" x14ac:dyDescent="0.2">
      <c r="B43" s="5"/>
      <c r="C43" s="5"/>
      <c r="D43" s="21"/>
      <c r="E43" s="29"/>
      <c r="F43" s="24"/>
      <c r="G43" s="12"/>
      <c r="H43" s="12"/>
      <c r="I43" s="12"/>
      <c r="J43" s="12" t="str">
        <f t="shared" si="0"/>
        <v/>
      </c>
      <c r="K43" s="12" t="str">
        <f t="shared" si="1"/>
        <v/>
      </c>
      <c r="L43" s="12"/>
      <c r="M43" s="12" t="str">
        <f t="shared" si="2"/>
        <v/>
      </c>
      <c r="N43" s="5"/>
    </row>
    <row r="44" spans="2:14" ht="18" customHeight="1" x14ac:dyDescent="0.2">
      <c r="B44" s="5"/>
      <c r="C44" s="5"/>
      <c r="D44" s="21"/>
      <c r="E44" s="29"/>
      <c r="F44" s="24"/>
      <c r="G44" s="12"/>
      <c r="H44" s="12"/>
      <c r="I44" s="12"/>
      <c r="J44" s="12" t="str">
        <f t="shared" si="0"/>
        <v/>
      </c>
      <c r="K44" s="12" t="str">
        <f t="shared" si="1"/>
        <v/>
      </c>
      <c r="L44" s="12"/>
      <c r="M44" s="12" t="str">
        <f t="shared" si="2"/>
        <v/>
      </c>
      <c r="N44" s="5"/>
    </row>
    <row r="45" spans="2:14" ht="19.5" customHeight="1" x14ac:dyDescent="0.2">
      <c r="B45" s="4" t="s">
        <v>432</v>
      </c>
      <c r="C45" s="17"/>
      <c r="D45" s="17"/>
      <c r="E45" s="17"/>
      <c r="F45" s="17"/>
      <c r="G45" s="15">
        <f t="shared" ref="G45:M45" si="3">SUM(G38:G44)</f>
        <v>238419103</v>
      </c>
      <c r="H45" s="15">
        <f t="shared" si="3"/>
        <v>500000</v>
      </c>
      <c r="I45" s="15">
        <f t="shared" si="3"/>
        <v>39000000</v>
      </c>
      <c r="J45" s="15">
        <f t="shared" si="3"/>
        <v>199419103</v>
      </c>
      <c r="K45" s="15">
        <f t="shared" si="3"/>
        <v>198919103</v>
      </c>
      <c r="L45" s="15">
        <f t="shared" si="3"/>
        <v>233919103</v>
      </c>
      <c r="M45" s="15">
        <f t="shared" si="3"/>
        <v>4500000</v>
      </c>
      <c r="N45" s="17"/>
    </row>
    <row r="46" spans="2:14" ht="19.5" customHeight="1" x14ac:dyDescent="0.2">
      <c r="B46" s="4" t="s">
        <v>433</v>
      </c>
      <c r="C46" s="17"/>
      <c r="D46" s="17"/>
      <c r="E46" s="17"/>
      <c r="F46" s="17"/>
      <c r="G46" s="15">
        <f>SUMIFS(G38:G44,$E$38:$E$44,2026)</f>
        <v>84309707</v>
      </c>
      <c r="H46" s="17"/>
      <c r="I46" s="15">
        <f>SUMIFS(I38:I44,$E$38:$E$44,2026)</f>
        <v>39000000</v>
      </c>
      <c r="J46" s="17"/>
      <c r="K46" s="15">
        <f>SUMIFS(K38:K44,$E$38:$E$44,2026)</f>
        <v>44809707</v>
      </c>
      <c r="L46" s="15">
        <f>SUMIFS(L38:L44,$E$38:$E$44,2026)</f>
        <v>79809707</v>
      </c>
      <c r="M46" s="15">
        <f>SUMIFS(M38:M44,$E$38:$E$44,2026)</f>
        <v>4500000</v>
      </c>
      <c r="N46" s="17"/>
    </row>
    <row r="48" spans="2:14" ht="25.5" customHeight="1" x14ac:dyDescent="0.2">
      <c r="B48" s="39" t="s">
        <v>434</v>
      </c>
      <c r="C48" s="39"/>
      <c r="D48" s="39"/>
      <c r="E48" s="39"/>
      <c r="F48" s="39"/>
      <c r="G48" s="39"/>
      <c r="H48" s="39"/>
      <c r="I48" s="39"/>
      <c r="J48" s="39"/>
      <c r="K48" s="39"/>
      <c r="L48" s="39"/>
      <c r="M48" s="39"/>
      <c r="N48" s="39"/>
    </row>
    <row r="49" spans="2:14" ht="30" customHeight="1" x14ac:dyDescent="0.2">
      <c r="B49" s="2" t="s">
        <v>435</v>
      </c>
      <c r="C49" s="2" t="s">
        <v>416</v>
      </c>
      <c r="D49" s="2" t="s">
        <v>70</v>
      </c>
      <c r="E49" s="2" t="s">
        <v>436</v>
      </c>
      <c r="F49" s="2" t="s">
        <v>437</v>
      </c>
      <c r="G49" s="2" t="s">
        <v>35</v>
      </c>
      <c r="H49" s="2" t="s">
        <v>110</v>
      </c>
      <c r="I49" s="2" t="s">
        <v>36</v>
      </c>
      <c r="J49" s="2" t="s">
        <v>438</v>
      </c>
      <c r="K49" s="46" t="s">
        <v>114</v>
      </c>
      <c r="L49" s="46"/>
      <c r="M49" s="46"/>
      <c r="N49" s="2" t="s">
        <v>116</v>
      </c>
    </row>
    <row r="50" spans="2:14" ht="51.75" customHeight="1" x14ac:dyDescent="0.2">
      <c r="B50" s="5" t="s">
        <v>161</v>
      </c>
      <c r="C50" s="5" t="s">
        <v>151</v>
      </c>
      <c r="D50" s="21" t="s">
        <v>74</v>
      </c>
      <c r="E50" s="24"/>
      <c r="F50" s="24">
        <v>46355</v>
      </c>
      <c r="G50" s="19">
        <f>IF(CNAM!G41="","",CNAM!G41)</f>
        <v>66309707</v>
      </c>
      <c r="H50" s="22"/>
      <c r="I50" s="12" t="str">
        <f>IF(OR(G50="",H50=""),"",G50*H50)</f>
        <v/>
      </c>
      <c r="J50" s="5" t="s">
        <v>83</v>
      </c>
      <c r="K50" s="38" t="s">
        <v>439</v>
      </c>
      <c r="L50" s="38"/>
      <c r="M50" s="38"/>
      <c r="N50" s="5" t="s">
        <v>440</v>
      </c>
    </row>
    <row r="51" spans="2:14" ht="18" customHeight="1" x14ac:dyDescent="0.2">
      <c r="B51" s="5"/>
      <c r="C51" s="5"/>
      <c r="D51" s="21"/>
      <c r="E51" s="24"/>
      <c r="F51" s="24"/>
      <c r="G51" s="12"/>
      <c r="H51" s="22"/>
      <c r="I51" s="12" t="str">
        <f>IF(OR(G51="",H51=""),"",G51*H51)</f>
        <v/>
      </c>
      <c r="J51" s="5"/>
      <c r="K51" s="38"/>
      <c r="L51" s="38"/>
      <c r="M51" s="38"/>
      <c r="N51" s="5"/>
    </row>
    <row r="52" spans="2:14" ht="18" customHeight="1" x14ac:dyDescent="0.2">
      <c r="B52" s="5"/>
      <c r="C52" s="5"/>
      <c r="D52" s="21"/>
      <c r="E52" s="24"/>
      <c r="F52" s="24"/>
      <c r="G52" s="12"/>
      <c r="H52" s="22"/>
      <c r="I52" s="12" t="str">
        <f>IF(OR(G52="",H52=""),"",G52*H52)</f>
        <v/>
      </c>
      <c r="J52" s="5"/>
      <c r="K52" s="38"/>
      <c r="L52" s="38"/>
      <c r="M52" s="38"/>
      <c r="N52" s="5"/>
    </row>
    <row r="53" spans="2:14" ht="18" customHeight="1" x14ac:dyDescent="0.2">
      <c r="B53" s="5"/>
      <c r="C53" s="5"/>
      <c r="D53" s="21"/>
      <c r="E53" s="24"/>
      <c r="F53" s="24"/>
      <c r="G53" s="12"/>
      <c r="H53" s="22"/>
      <c r="I53" s="12" t="str">
        <f>IF(OR(G53="",H53=""),"",G53*H53)</f>
        <v/>
      </c>
      <c r="J53" s="5"/>
      <c r="K53" s="38"/>
      <c r="L53" s="38"/>
      <c r="M53" s="38"/>
      <c r="N53" s="5"/>
    </row>
    <row r="54" spans="2:14" ht="19.5" customHeight="1" x14ac:dyDescent="0.2">
      <c r="B54" s="4" t="s">
        <v>441</v>
      </c>
      <c r="C54" s="17"/>
      <c r="D54" s="17"/>
      <c r="E54" s="17"/>
      <c r="F54" s="17"/>
      <c r="G54" s="15">
        <f>SUM(G50:G53)</f>
        <v>66309707</v>
      </c>
      <c r="H54" s="17"/>
      <c r="I54" s="15">
        <f>SUM(I50:I53)</f>
        <v>0</v>
      </c>
      <c r="J54" s="17"/>
      <c r="K54" s="17"/>
      <c r="L54" s="17"/>
      <c r="M54" s="17"/>
      <c r="N54" s="17"/>
    </row>
    <row r="56" spans="2:14" ht="25.5" customHeight="1" x14ac:dyDescent="0.2">
      <c r="B56" s="39" t="s">
        <v>442</v>
      </c>
      <c r="C56" s="39"/>
      <c r="D56" s="39"/>
      <c r="E56" s="39"/>
      <c r="F56" s="39"/>
      <c r="G56" s="39"/>
      <c r="H56" s="39"/>
      <c r="I56" s="39"/>
      <c r="J56" s="39"/>
      <c r="K56" s="39"/>
      <c r="L56" s="39"/>
      <c r="M56" s="39"/>
      <c r="N56" s="39"/>
    </row>
    <row r="57" spans="2:14" ht="30" customHeight="1" x14ac:dyDescent="0.2">
      <c r="B57" s="2" t="s">
        <v>443</v>
      </c>
      <c r="C57" s="2" t="s">
        <v>107</v>
      </c>
      <c r="D57" s="2" t="s">
        <v>113</v>
      </c>
      <c r="E57" s="2" t="s">
        <v>115</v>
      </c>
      <c r="F57" s="2" t="s">
        <v>438</v>
      </c>
      <c r="G57" s="46" t="s">
        <v>444</v>
      </c>
      <c r="H57" s="46"/>
      <c r="I57" s="46"/>
      <c r="J57" s="46"/>
      <c r="K57" s="46"/>
      <c r="L57" s="46"/>
      <c r="M57" s="46"/>
      <c r="N57" s="2" t="s">
        <v>116</v>
      </c>
    </row>
    <row r="58" spans="2:14" ht="36" customHeight="1" x14ac:dyDescent="0.2">
      <c r="B58" s="5" t="s">
        <v>445</v>
      </c>
      <c r="C58" s="5" t="s">
        <v>151</v>
      </c>
      <c r="D58" s="21" t="s">
        <v>146</v>
      </c>
      <c r="E58" s="24"/>
      <c r="F58" s="5" t="s">
        <v>83</v>
      </c>
      <c r="G58" s="38" t="s">
        <v>446</v>
      </c>
      <c r="H58" s="38"/>
      <c r="I58" s="38"/>
      <c r="J58" s="38"/>
      <c r="K58" s="38"/>
      <c r="L58" s="38"/>
      <c r="M58" s="38"/>
      <c r="N58" s="5"/>
    </row>
    <row r="59" spans="2:14" ht="36" customHeight="1" x14ac:dyDescent="0.2">
      <c r="B59" s="5" t="s">
        <v>447</v>
      </c>
      <c r="C59" s="5" t="s">
        <v>448</v>
      </c>
      <c r="D59" s="21" t="s">
        <v>132</v>
      </c>
      <c r="E59" s="24">
        <v>46355</v>
      </c>
      <c r="F59" s="5" t="s">
        <v>83</v>
      </c>
      <c r="G59" s="38" t="s">
        <v>449</v>
      </c>
      <c r="H59" s="38"/>
      <c r="I59" s="38"/>
      <c r="J59" s="38"/>
      <c r="K59" s="38"/>
      <c r="L59" s="38"/>
      <c r="M59" s="38"/>
      <c r="N59" s="5"/>
    </row>
    <row r="60" spans="2:14" ht="18" customHeight="1" x14ac:dyDescent="0.2">
      <c r="B60" s="5"/>
      <c r="C60" s="5"/>
      <c r="D60" s="21"/>
      <c r="E60" s="24"/>
      <c r="F60" s="5"/>
      <c r="G60" s="38"/>
      <c r="H60" s="38"/>
      <c r="I60" s="38"/>
      <c r="J60" s="38"/>
      <c r="K60" s="38"/>
      <c r="L60" s="38"/>
      <c r="M60" s="38"/>
      <c r="N60" s="5"/>
    </row>
    <row r="61" spans="2:14" ht="18" customHeight="1" x14ac:dyDescent="0.2">
      <c r="B61" s="5"/>
      <c r="C61" s="5"/>
      <c r="D61" s="21"/>
      <c r="E61" s="24"/>
      <c r="F61" s="5"/>
      <c r="G61" s="38"/>
      <c r="H61" s="38"/>
      <c r="I61" s="38"/>
      <c r="J61" s="38"/>
      <c r="K61" s="38"/>
      <c r="L61" s="38"/>
      <c r="M61" s="38"/>
      <c r="N61" s="5"/>
    </row>
  </sheetData>
  <mergeCells count="67">
    <mergeCell ref="B2:N2"/>
    <mergeCell ref="B3:N3"/>
    <mergeCell ref="B4:N4"/>
    <mergeCell ref="B7:N7"/>
    <mergeCell ref="C8:N8"/>
    <mergeCell ref="C9:N9"/>
    <mergeCell ref="C10:N10"/>
    <mergeCell ref="C11:N11"/>
    <mergeCell ref="C12:N12"/>
    <mergeCell ref="C13:N13"/>
    <mergeCell ref="C14:N14"/>
    <mergeCell ref="C15:N15"/>
    <mergeCell ref="C16:N16"/>
    <mergeCell ref="C17:N17"/>
    <mergeCell ref="C18:N18"/>
    <mergeCell ref="B20:N20"/>
    <mergeCell ref="C21:D21"/>
    <mergeCell ref="F21:N21"/>
    <mergeCell ref="C22:D22"/>
    <mergeCell ref="F22:N22"/>
    <mergeCell ref="C23:D23"/>
    <mergeCell ref="F23:N23"/>
    <mergeCell ref="C24:D24"/>
    <mergeCell ref="F24:N24"/>
    <mergeCell ref="C25:D25"/>
    <mergeCell ref="F25:N25"/>
    <mergeCell ref="B27:N27"/>
    <mergeCell ref="C28:D28"/>
    <mergeCell ref="E28:F28"/>
    <mergeCell ref="G28:H28"/>
    <mergeCell ref="I28:K28"/>
    <mergeCell ref="L28:N28"/>
    <mergeCell ref="C29:D29"/>
    <mergeCell ref="E29:F29"/>
    <mergeCell ref="G29:H29"/>
    <mergeCell ref="I29:K29"/>
    <mergeCell ref="L29:N29"/>
    <mergeCell ref="G60:M60"/>
    <mergeCell ref="G61:M61"/>
    <mergeCell ref="C30:D30"/>
    <mergeCell ref="E30:F30"/>
    <mergeCell ref="C34:D34"/>
    <mergeCell ref="E34:F34"/>
    <mergeCell ref="C35:D35"/>
    <mergeCell ref="E35:F35"/>
    <mergeCell ref="C33:D33"/>
    <mergeCell ref="E33:F33"/>
    <mergeCell ref="G30:H30"/>
    <mergeCell ref="G33:H33"/>
    <mergeCell ref="G34:H34"/>
    <mergeCell ref="C31:D31"/>
    <mergeCell ref="C32:D32"/>
    <mergeCell ref="K52:M52"/>
    <mergeCell ref="E31:F31"/>
    <mergeCell ref="E32:F32"/>
    <mergeCell ref="G31:H31"/>
    <mergeCell ref="G32:H32"/>
    <mergeCell ref="G59:M59"/>
    <mergeCell ref="K53:M53"/>
    <mergeCell ref="B56:N56"/>
    <mergeCell ref="G57:M57"/>
    <mergeCell ref="G58:M58"/>
    <mergeCell ref="B36:N36"/>
    <mergeCell ref="B48:N48"/>
    <mergeCell ref="K49:M49"/>
    <mergeCell ref="K50:M50"/>
    <mergeCell ref="K51:M51"/>
  </mergeCells>
  <phoneticPr fontId="14" type="noConversion"/>
  <conditionalFormatting sqref="E22:E25">
    <cfRule type="expression" dxfId="25" priority="2">
      <formula>$E22="Confirmé"</formula>
    </cfRule>
    <cfRule type="expression" dxfId="24" priority="3">
      <formula>$E22="À confirmer"</formula>
    </cfRule>
    <cfRule type="expression" dxfId="23" priority="4">
      <formula>$E22="Non trouvé"</formula>
    </cfRule>
  </conditionalFormatting>
  <hyperlinks>
    <hyperlink ref="B5" r:id="rId1" location="'Synthèse'!A1" xr:uid="{00000000-0004-0000-0300-000000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6">
        <x14:dataValidation type="list" allowBlank="1" showErrorMessage="1" error="Choisir une valeur dans la liste" xr:uid="{00000000-0002-0000-0300-000000000000}">
          <x14:formula1>
            <xm:f>Listes!$C$2:$C$5</xm:f>
          </x14:formula1>
          <x14:formula2>
            <xm:f>0</xm:f>
          </x14:formula2>
          <xm:sqref>J50:J53 F58:F61</xm:sqref>
        </x14:dataValidation>
        <x14:dataValidation type="list" allowBlank="1" showErrorMessage="1" error="Choisir une valeur dans la liste" xr:uid="{00000000-0002-0000-0300-000001000000}">
          <x14:formula1>
            <xm:f>Listes!$G$2:$G$4</xm:f>
          </x14:formula1>
          <x14:formula2>
            <xm:f>0</xm:f>
          </x14:formula2>
          <xm:sqref>C14</xm:sqref>
        </x14:dataValidation>
        <x14:dataValidation type="list" allowBlank="1" showErrorMessage="1" error="Choisir une valeur dans la liste" xr:uid="{00000000-0002-0000-0300-000002000000}">
          <x14:formula1>
            <xm:f>Listes!$D$2:$D$4</xm:f>
          </x14:formula1>
          <x14:formula2>
            <xm:f>0</xm:f>
          </x14:formula2>
          <xm:sqref>D38:D44</xm:sqref>
        </x14:dataValidation>
        <x14:dataValidation type="list" allowBlank="1" showErrorMessage="1" error="Choisir une valeur dans la liste" xr:uid="{00000000-0002-0000-0300-000003000000}">
          <x14:formula1>
            <xm:f>Listes!$A$2:$A$10</xm:f>
          </x14:formula1>
          <x14:formula2>
            <xm:f>0</xm:f>
          </x14:formula2>
          <xm:sqref>D50:D53</xm:sqref>
        </x14:dataValidation>
        <x14:dataValidation type="list" allowBlank="1" showErrorMessage="1" error="Choisir une valeur dans la liste" xr:uid="{00000000-0002-0000-0300-000005000000}">
          <x14:formula1>
            <xm:f>Listes!$E$2:$E$4</xm:f>
          </x14:formula1>
          <x14:formula2>
            <xm:f>0</xm:f>
          </x14:formula2>
          <xm:sqref>D58:D61</xm:sqref>
        </x14:dataValidation>
        <x14:dataValidation type="list" allowBlank="1" showErrorMessage="1" error="Choisir une valeur dans la liste" xr:uid="{0966C7E2-332A-9E48-BCEB-0E248A236B03}">
          <x14:formula1>
            <xm:f>Listes!$C$2:$C$8</xm:f>
          </x14:formula1>
          <xm:sqref>C12:N12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8C9B0"/>
    <pageSetUpPr fitToPage="1"/>
  </sheetPr>
  <dimension ref="B2:N61"/>
  <sheetViews>
    <sheetView showGridLines="0" zoomScale="312" zoomScaleNormal="312" workbookViewId="0">
      <pane xSplit="2" ySplit="5" topLeftCell="C18" activePane="bottomRight" state="frozen"/>
      <selection pane="topRight" activeCell="C1" sqref="C1"/>
      <selection pane="bottomLeft" activeCell="A6" sqref="A6"/>
      <selection pane="bottomRight" activeCell="G32" sqref="G32:H32"/>
    </sheetView>
  </sheetViews>
  <sheetFormatPr baseColWidth="10" defaultColWidth="8.6640625" defaultRowHeight="15" x14ac:dyDescent="0.2"/>
  <cols>
    <col min="1" max="1" width="3" customWidth="1"/>
    <col min="2" max="2" width="34" customWidth="1"/>
    <col min="3" max="3" width="20" customWidth="1"/>
    <col min="4" max="4" width="14" customWidth="1"/>
    <col min="5" max="5" width="10" customWidth="1"/>
    <col min="6" max="6" width="13" customWidth="1"/>
    <col min="7" max="7" width="15" customWidth="1"/>
    <col min="8" max="9" width="14" customWidth="1"/>
    <col min="10" max="13" width="15" customWidth="1"/>
    <col min="14" max="14" width="46" customWidth="1"/>
  </cols>
  <sheetData>
    <row r="2" spans="2:14" ht="34.5" customHeight="1" x14ac:dyDescent="0.2">
      <c r="B2" s="40" t="s">
        <v>450</v>
      </c>
      <c r="C2" s="40"/>
      <c r="D2" s="40"/>
      <c r="E2" s="40"/>
      <c r="F2" s="40"/>
      <c r="G2" s="40"/>
      <c r="H2" s="40"/>
      <c r="I2" s="40"/>
      <c r="J2" s="40"/>
      <c r="K2" s="40"/>
      <c r="L2" s="40"/>
      <c r="M2" s="40"/>
      <c r="N2" s="40"/>
    </row>
    <row r="3" spans="2:14" ht="19.5" customHeight="1" x14ac:dyDescent="0.2">
      <c r="B3" s="41" t="s">
        <v>377</v>
      </c>
      <c r="C3" s="41"/>
      <c r="D3" s="41"/>
      <c r="E3" s="41"/>
      <c r="F3" s="41"/>
      <c r="G3" s="41"/>
      <c r="H3" s="41"/>
      <c r="I3" s="41"/>
      <c r="J3" s="41"/>
      <c r="K3" s="41"/>
      <c r="L3" s="41"/>
      <c r="M3" s="41"/>
      <c r="N3" s="41"/>
    </row>
    <row r="4" spans="2:14" ht="18" customHeight="1" x14ac:dyDescent="0.2">
      <c r="B4" s="41" t="s">
        <v>378</v>
      </c>
      <c r="C4" s="41"/>
      <c r="D4" s="41"/>
      <c r="E4" s="41"/>
      <c r="F4" s="41"/>
      <c r="G4" s="41"/>
      <c r="H4" s="41"/>
      <c r="I4" s="41"/>
      <c r="J4" s="41"/>
      <c r="K4" s="41"/>
      <c r="L4" s="41"/>
      <c r="M4" s="41"/>
      <c r="N4" s="41"/>
    </row>
    <row r="5" spans="2:14" x14ac:dyDescent="0.2">
      <c r="B5" s="20" t="s">
        <v>102</v>
      </c>
    </row>
    <row r="7" spans="2:14" ht="25.5" customHeight="1" x14ac:dyDescent="0.2">
      <c r="B7" s="39" t="s">
        <v>379</v>
      </c>
      <c r="C7" s="39"/>
      <c r="D7" s="39"/>
      <c r="E7" s="39"/>
      <c r="F7" s="39"/>
      <c r="G7" s="39"/>
      <c r="H7" s="39"/>
      <c r="I7" s="39"/>
      <c r="J7" s="39"/>
      <c r="K7" s="39"/>
      <c r="L7" s="39"/>
      <c r="M7" s="39"/>
      <c r="N7" s="39"/>
    </row>
    <row r="8" spans="2:14" ht="18" customHeight="1" x14ac:dyDescent="0.2">
      <c r="B8" s="6" t="s">
        <v>380</v>
      </c>
      <c r="C8" s="38" t="s">
        <v>451</v>
      </c>
      <c r="D8" s="38"/>
      <c r="E8" s="38"/>
      <c r="F8" s="38"/>
      <c r="G8" s="38"/>
      <c r="H8" s="38"/>
      <c r="I8" s="38"/>
      <c r="J8" s="38"/>
      <c r="K8" s="38"/>
      <c r="L8" s="38"/>
      <c r="M8" s="38"/>
      <c r="N8" s="38"/>
    </row>
    <row r="9" spans="2:14" ht="30" customHeight="1" x14ac:dyDescent="0.2">
      <c r="B9" s="6" t="s">
        <v>382</v>
      </c>
      <c r="C9" s="38" t="s">
        <v>452</v>
      </c>
      <c r="D9" s="38"/>
      <c r="E9" s="38"/>
      <c r="F9" s="38"/>
      <c r="G9" s="38"/>
      <c r="H9" s="38"/>
      <c r="I9" s="38"/>
      <c r="J9" s="38"/>
      <c r="K9" s="38"/>
      <c r="L9" s="38"/>
      <c r="M9" s="38"/>
      <c r="N9" s="38"/>
    </row>
    <row r="10" spans="2:14" ht="18" customHeight="1" x14ac:dyDescent="0.2">
      <c r="B10" s="6" t="s">
        <v>384</v>
      </c>
      <c r="C10" s="38" t="s">
        <v>453</v>
      </c>
      <c r="D10" s="38"/>
      <c r="E10" s="38"/>
      <c r="F10" s="38"/>
      <c r="G10" s="38"/>
      <c r="H10" s="38"/>
      <c r="I10" s="38"/>
      <c r="J10" s="38"/>
      <c r="K10" s="38"/>
      <c r="L10" s="38"/>
      <c r="M10" s="38"/>
      <c r="N10" s="38"/>
    </row>
    <row r="11" spans="2:14" ht="30" customHeight="1" x14ac:dyDescent="0.2">
      <c r="B11" s="6" t="s">
        <v>385</v>
      </c>
      <c r="C11" s="38" t="s">
        <v>454</v>
      </c>
      <c r="D11" s="38"/>
      <c r="E11" s="38"/>
      <c r="F11" s="38"/>
      <c r="G11" s="38"/>
      <c r="H11" s="38"/>
      <c r="I11" s="38"/>
      <c r="J11" s="38"/>
      <c r="K11" s="38"/>
      <c r="L11" s="38"/>
      <c r="M11" s="38"/>
      <c r="N11" s="38"/>
    </row>
    <row r="12" spans="2:14" ht="18" customHeight="1" x14ac:dyDescent="0.2">
      <c r="B12" s="6" t="s">
        <v>455</v>
      </c>
      <c r="C12" s="38" t="s">
        <v>456</v>
      </c>
      <c r="D12" s="38"/>
      <c r="E12" s="38"/>
      <c r="F12" s="38"/>
      <c r="G12" s="38"/>
      <c r="H12" s="38"/>
      <c r="I12" s="38"/>
      <c r="J12" s="38"/>
      <c r="K12" s="38"/>
      <c r="L12" s="38"/>
      <c r="M12" s="38"/>
      <c r="N12" s="38"/>
    </row>
    <row r="13" spans="2:14" ht="18" customHeight="1" x14ac:dyDescent="0.2">
      <c r="B13" s="6" t="s">
        <v>386</v>
      </c>
      <c r="C13" s="38" t="s">
        <v>2524</v>
      </c>
      <c r="D13" s="38"/>
      <c r="E13" s="38"/>
      <c r="F13" s="38"/>
      <c r="G13" s="38"/>
      <c r="H13" s="38"/>
      <c r="I13" s="38"/>
      <c r="J13" s="38"/>
      <c r="K13" s="38"/>
      <c r="L13" s="38"/>
      <c r="M13" s="38"/>
      <c r="N13" s="38"/>
    </row>
    <row r="14" spans="2:14" ht="18" customHeight="1" x14ac:dyDescent="0.2">
      <c r="B14" s="6" t="s">
        <v>387</v>
      </c>
      <c r="C14" s="48"/>
      <c r="D14" s="48"/>
      <c r="E14" s="48"/>
      <c r="F14" s="48"/>
      <c r="G14" s="48"/>
      <c r="H14" s="48"/>
      <c r="I14" s="48"/>
      <c r="J14" s="48"/>
      <c r="K14" s="48"/>
      <c r="L14" s="48"/>
      <c r="M14" s="48"/>
      <c r="N14" s="48"/>
    </row>
    <row r="15" spans="2:14" ht="18" customHeight="1" x14ac:dyDescent="0.2">
      <c r="B15" s="6" t="s">
        <v>388</v>
      </c>
      <c r="C15" s="48"/>
      <c r="D15" s="48"/>
      <c r="E15" s="48"/>
      <c r="F15" s="48"/>
      <c r="G15" s="48"/>
      <c r="H15" s="48"/>
      <c r="I15" s="48"/>
      <c r="J15" s="48"/>
      <c r="K15" s="48"/>
      <c r="L15" s="48"/>
      <c r="M15" s="48"/>
      <c r="N15" s="48"/>
    </row>
    <row r="16" spans="2:14" ht="18" customHeight="1" x14ac:dyDescent="0.2">
      <c r="B16" s="6" t="s">
        <v>389</v>
      </c>
      <c r="C16" s="48"/>
      <c r="D16" s="48"/>
      <c r="E16" s="48"/>
      <c r="F16" s="48"/>
      <c r="G16" s="48"/>
      <c r="H16" s="48"/>
      <c r="I16" s="48"/>
      <c r="J16" s="48"/>
      <c r="K16" s="48"/>
      <c r="L16" s="48"/>
      <c r="M16" s="48"/>
      <c r="N16" s="48"/>
    </row>
    <row r="17" spans="2:14" ht="18" customHeight="1" x14ac:dyDescent="0.2">
      <c r="B17" s="6" t="s">
        <v>390</v>
      </c>
      <c r="C17" s="49"/>
      <c r="D17" s="49"/>
      <c r="E17" s="49"/>
      <c r="F17" s="49"/>
      <c r="G17" s="49"/>
      <c r="H17" s="49"/>
      <c r="I17" s="49"/>
      <c r="J17" s="49"/>
      <c r="K17" s="49"/>
      <c r="L17" s="49"/>
      <c r="M17" s="49"/>
      <c r="N17" s="49"/>
    </row>
    <row r="18" spans="2:14" ht="18" customHeight="1" x14ac:dyDescent="0.2">
      <c r="B18" s="6" t="s">
        <v>391</v>
      </c>
      <c r="C18" s="49"/>
      <c r="D18" s="49"/>
      <c r="E18" s="49"/>
      <c r="F18" s="49"/>
      <c r="G18" s="49"/>
      <c r="H18" s="49"/>
      <c r="I18" s="49"/>
      <c r="J18" s="49"/>
      <c r="K18" s="49"/>
      <c r="L18" s="49"/>
      <c r="M18" s="49"/>
      <c r="N18" s="49"/>
    </row>
    <row r="19" spans="2:14" ht="30" customHeight="1" x14ac:dyDescent="0.2">
      <c r="B19" s="6" t="s">
        <v>392</v>
      </c>
      <c r="C19" s="38" t="s">
        <v>457</v>
      </c>
      <c r="D19" s="38"/>
      <c r="E19" s="38"/>
      <c r="F19" s="38"/>
      <c r="G19" s="38"/>
      <c r="H19" s="38"/>
      <c r="I19" s="38"/>
      <c r="J19" s="38"/>
      <c r="K19" s="38"/>
      <c r="L19" s="38"/>
      <c r="M19" s="38"/>
      <c r="N19" s="38"/>
    </row>
    <row r="21" spans="2:14" ht="25.5" customHeight="1" x14ac:dyDescent="0.2">
      <c r="B21" s="39" t="s">
        <v>458</v>
      </c>
      <c r="C21" s="39"/>
      <c r="D21" s="39"/>
      <c r="E21" s="39"/>
      <c r="F21" s="39"/>
      <c r="G21" s="39"/>
      <c r="H21" s="39"/>
      <c r="I21" s="39"/>
      <c r="J21" s="39"/>
      <c r="K21" s="39"/>
      <c r="L21" s="39"/>
      <c r="M21" s="39"/>
      <c r="N21" s="39"/>
    </row>
    <row r="22" spans="2:14" ht="30" customHeight="1" x14ac:dyDescent="0.2">
      <c r="B22" s="2" t="s">
        <v>395</v>
      </c>
      <c r="C22" s="46" t="s">
        <v>396</v>
      </c>
      <c r="D22" s="46"/>
      <c r="E22" s="2" t="s">
        <v>397</v>
      </c>
      <c r="F22" s="46" t="s">
        <v>398</v>
      </c>
      <c r="G22" s="46"/>
      <c r="H22" s="46"/>
      <c r="I22" s="46"/>
      <c r="J22" s="46"/>
      <c r="K22" s="46"/>
      <c r="L22" s="46"/>
      <c r="M22" s="46"/>
      <c r="N22" s="46"/>
    </row>
    <row r="23" spans="2:14" ht="21.75" customHeight="1" x14ac:dyDescent="0.2">
      <c r="B23" s="6" t="s">
        <v>399</v>
      </c>
      <c r="C23" s="47" t="s">
        <v>459</v>
      </c>
      <c r="D23" s="47"/>
      <c r="E23" s="21" t="s">
        <v>401</v>
      </c>
      <c r="F23" s="38" t="s">
        <v>460</v>
      </c>
      <c r="G23" s="38"/>
      <c r="H23" s="38"/>
      <c r="I23" s="38"/>
      <c r="J23" s="38"/>
      <c r="K23" s="38"/>
      <c r="L23" s="38"/>
      <c r="M23" s="38"/>
      <c r="N23" s="38"/>
    </row>
    <row r="24" spans="2:14" ht="21.75" customHeight="1" x14ac:dyDescent="0.2">
      <c r="B24" s="6" t="s">
        <v>461</v>
      </c>
      <c r="C24" s="47" t="s">
        <v>462</v>
      </c>
      <c r="D24" s="47"/>
      <c r="E24" s="21" t="s">
        <v>86</v>
      </c>
      <c r="F24" s="38" t="s">
        <v>463</v>
      </c>
      <c r="G24" s="38"/>
      <c r="H24" s="38"/>
      <c r="I24" s="38"/>
      <c r="J24" s="38"/>
      <c r="K24" s="38"/>
      <c r="L24" s="38"/>
      <c r="M24" s="38"/>
      <c r="N24" s="38"/>
    </row>
    <row r="25" spans="2:14" ht="21.75" customHeight="1" x14ac:dyDescent="0.2">
      <c r="B25" s="6" t="s">
        <v>406</v>
      </c>
      <c r="C25" s="47" t="s">
        <v>464</v>
      </c>
      <c r="D25" s="47"/>
      <c r="E25" s="21" t="s">
        <v>86</v>
      </c>
      <c r="F25" s="38" t="s">
        <v>465</v>
      </c>
      <c r="G25" s="38"/>
      <c r="H25" s="38"/>
      <c r="I25" s="38"/>
      <c r="J25" s="38"/>
      <c r="K25" s="38"/>
      <c r="L25" s="38"/>
      <c r="M25" s="38"/>
      <c r="N25" s="38"/>
    </row>
    <row r="26" spans="2:14" ht="21.75" customHeight="1" x14ac:dyDescent="0.2">
      <c r="B26" s="6" t="s">
        <v>408</v>
      </c>
      <c r="C26" s="48" t="s">
        <v>154</v>
      </c>
      <c r="D26" s="48"/>
      <c r="E26" s="21" t="s">
        <v>407</v>
      </c>
      <c r="F26" s="38"/>
      <c r="G26" s="38"/>
      <c r="H26" s="38"/>
      <c r="I26" s="38"/>
      <c r="J26" s="38"/>
      <c r="K26" s="38"/>
      <c r="L26" s="38"/>
      <c r="M26" s="38"/>
      <c r="N26" s="38"/>
    </row>
    <row r="28" spans="2:14" ht="25.5" customHeight="1" x14ac:dyDescent="0.2">
      <c r="B28" s="39" t="s">
        <v>466</v>
      </c>
      <c r="C28" s="39"/>
      <c r="D28" s="39"/>
      <c r="E28" s="39"/>
      <c r="F28" s="39"/>
      <c r="G28" s="39"/>
      <c r="H28" s="39"/>
      <c r="I28" s="39"/>
      <c r="J28" s="39"/>
      <c r="K28" s="39"/>
      <c r="L28" s="39"/>
      <c r="M28" s="39"/>
      <c r="N28" s="39"/>
    </row>
    <row r="29" spans="2:14" ht="30" customHeight="1" x14ac:dyDescent="0.2">
      <c r="B29" s="2" t="s">
        <v>396</v>
      </c>
      <c r="C29" s="46" t="s">
        <v>395</v>
      </c>
      <c r="D29" s="46"/>
      <c r="E29" s="46" t="s">
        <v>410</v>
      </c>
      <c r="F29" s="46"/>
      <c r="G29" s="46" t="s">
        <v>411</v>
      </c>
      <c r="H29" s="46"/>
      <c r="I29" s="46" t="s">
        <v>412</v>
      </c>
      <c r="J29" s="46"/>
      <c r="K29" s="46"/>
      <c r="L29" s="46" t="s">
        <v>353</v>
      </c>
      <c r="M29" s="46"/>
      <c r="N29" s="46"/>
    </row>
    <row r="30" spans="2:14" ht="25.5" customHeight="1" x14ac:dyDescent="0.2">
      <c r="B30" s="1" t="s">
        <v>467</v>
      </c>
      <c r="C30" s="38" t="s">
        <v>468</v>
      </c>
      <c r="D30" s="38"/>
      <c r="E30" s="38" t="s">
        <v>469</v>
      </c>
      <c r="F30" s="38"/>
      <c r="G30" s="38" t="s">
        <v>470</v>
      </c>
      <c r="H30" s="38"/>
      <c r="I30" s="38" t="s">
        <v>471</v>
      </c>
      <c r="J30" s="38"/>
      <c r="K30" s="38"/>
      <c r="L30" s="38" t="s">
        <v>472</v>
      </c>
      <c r="M30" s="38"/>
      <c r="N30" s="38"/>
    </row>
    <row r="31" spans="2:14" ht="25.5" customHeight="1" x14ac:dyDescent="0.2">
      <c r="B31" s="1" t="s">
        <v>473</v>
      </c>
      <c r="C31" s="38" t="s">
        <v>474</v>
      </c>
      <c r="D31" s="38"/>
      <c r="E31" s="38" t="s">
        <v>475</v>
      </c>
      <c r="F31" s="38"/>
      <c r="G31" s="38" t="s">
        <v>476</v>
      </c>
      <c r="H31" s="38"/>
      <c r="I31" s="38" t="s">
        <v>477</v>
      </c>
      <c r="J31" s="38"/>
      <c r="K31" s="38"/>
      <c r="L31" s="38" t="s">
        <v>478</v>
      </c>
      <c r="M31" s="38"/>
      <c r="N31" s="38"/>
    </row>
    <row r="32" spans="2:14" ht="25.5" customHeight="1" x14ac:dyDescent="0.2">
      <c r="B32" s="1" t="s">
        <v>479</v>
      </c>
      <c r="C32" s="38" t="s">
        <v>480</v>
      </c>
      <c r="D32" s="38"/>
      <c r="E32" s="38" t="s">
        <v>481</v>
      </c>
      <c r="F32" s="38"/>
      <c r="G32" s="38" t="s">
        <v>482</v>
      </c>
      <c r="H32" s="38"/>
      <c r="I32" s="38" t="s">
        <v>483</v>
      </c>
      <c r="J32" s="38"/>
      <c r="K32" s="38"/>
      <c r="L32" s="38"/>
      <c r="M32" s="38"/>
      <c r="N32" s="38"/>
    </row>
    <row r="33" spans="2:14" ht="25.5" customHeight="1" x14ac:dyDescent="0.2">
      <c r="B33" s="1" t="s">
        <v>484</v>
      </c>
      <c r="C33" s="38" t="s">
        <v>485</v>
      </c>
      <c r="D33" s="38"/>
      <c r="E33" s="38" t="s">
        <v>481</v>
      </c>
      <c r="F33" s="38"/>
      <c r="G33" s="38" t="s">
        <v>486</v>
      </c>
      <c r="H33" s="38"/>
      <c r="I33" s="38" t="s">
        <v>487</v>
      </c>
      <c r="J33" s="38"/>
      <c r="K33" s="38"/>
      <c r="L33" s="38" t="s">
        <v>478</v>
      </c>
      <c r="M33" s="38"/>
      <c r="N33" s="38"/>
    </row>
    <row r="34" spans="2:14" ht="25.5" customHeight="1" x14ac:dyDescent="0.2">
      <c r="B34" s="1" t="s">
        <v>488</v>
      </c>
      <c r="C34" s="38" t="s">
        <v>489</v>
      </c>
      <c r="D34" s="38"/>
      <c r="E34" s="38" t="s">
        <v>455</v>
      </c>
      <c r="F34" s="38"/>
      <c r="G34" s="38" t="s">
        <v>490</v>
      </c>
      <c r="H34" s="38"/>
      <c r="I34" s="38" t="s">
        <v>491</v>
      </c>
      <c r="J34" s="38"/>
      <c r="K34" s="38"/>
      <c r="L34" s="38"/>
      <c r="M34" s="38"/>
      <c r="N34" s="38"/>
    </row>
    <row r="35" spans="2:14" ht="25.5" customHeight="1" x14ac:dyDescent="0.2">
      <c r="B35" s="1" t="s">
        <v>492</v>
      </c>
      <c r="C35" s="38" t="s">
        <v>493</v>
      </c>
      <c r="D35" s="38"/>
      <c r="E35" s="38" t="s">
        <v>455</v>
      </c>
      <c r="F35" s="38"/>
      <c r="G35" s="38"/>
      <c r="H35" s="38"/>
      <c r="I35" s="38" t="s">
        <v>494</v>
      </c>
      <c r="J35" s="38"/>
      <c r="K35" s="38"/>
      <c r="L35" s="38"/>
      <c r="M35" s="38"/>
      <c r="N35" s="38"/>
    </row>
    <row r="36" spans="2:14" ht="25.5" customHeight="1" x14ac:dyDescent="0.2">
      <c r="B36" s="1" t="s">
        <v>495</v>
      </c>
      <c r="C36" s="38" t="s">
        <v>496</v>
      </c>
      <c r="D36" s="38"/>
      <c r="E36" s="38" t="s">
        <v>497</v>
      </c>
      <c r="F36" s="38"/>
      <c r="G36" s="38" t="s">
        <v>498</v>
      </c>
      <c r="H36" s="38"/>
      <c r="I36" s="38" t="s">
        <v>499</v>
      </c>
      <c r="J36" s="38"/>
      <c r="K36" s="38"/>
      <c r="L36" s="38" t="s">
        <v>478</v>
      </c>
      <c r="M36" s="38"/>
      <c r="N36" s="38"/>
    </row>
    <row r="37" spans="2:14" ht="25.5" customHeight="1" x14ac:dyDescent="0.2">
      <c r="B37" s="1" t="s">
        <v>500</v>
      </c>
      <c r="C37" s="38"/>
      <c r="D37" s="38"/>
      <c r="E37" s="38" t="s">
        <v>501</v>
      </c>
      <c r="F37" s="38"/>
      <c r="G37" s="38" t="s">
        <v>502</v>
      </c>
      <c r="H37" s="38"/>
      <c r="I37" s="38" t="s">
        <v>503</v>
      </c>
      <c r="J37" s="38"/>
      <c r="K37" s="38"/>
      <c r="L37" s="38"/>
      <c r="M37" s="38"/>
      <c r="N37" s="38"/>
    </row>
    <row r="39" spans="2:14" ht="25.5" customHeight="1" x14ac:dyDescent="0.2">
      <c r="B39" s="39" t="s">
        <v>414</v>
      </c>
      <c r="C39" s="39"/>
      <c r="D39" s="39"/>
      <c r="E39" s="39"/>
      <c r="F39" s="39"/>
      <c r="G39" s="39"/>
      <c r="H39" s="39"/>
      <c r="I39" s="39"/>
      <c r="J39" s="39"/>
      <c r="K39" s="39"/>
      <c r="L39" s="39"/>
      <c r="M39" s="39"/>
      <c r="N39" s="39"/>
    </row>
    <row r="40" spans="2:14" ht="30" customHeight="1" x14ac:dyDescent="0.2">
      <c r="B40" s="2" t="s">
        <v>415</v>
      </c>
      <c r="C40" s="2" t="s">
        <v>416</v>
      </c>
      <c r="D40" s="2" t="s">
        <v>109</v>
      </c>
      <c r="E40" s="2" t="s">
        <v>417</v>
      </c>
      <c r="F40" s="2" t="s">
        <v>418</v>
      </c>
      <c r="G40" s="2" t="s">
        <v>419</v>
      </c>
      <c r="H40" s="2" t="s">
        <v>420</v>
      </c>
      <c r="I40" s="2" t="s">
        <v>37</v>
      </c>
      <c r="J40" s="2" t="s">
        <v>421</v>
      </c>
      <c r="K40" s="2" t="s">
        <v>422</v>
      </c>
      <c r="L40" s="2" t="s">
        <v>423</v>
      </c>
      <c r="M40" s="2" t="s">
        <v>55</v>
      </c>
      <c r="N40" s="2" t="s">
        <v>116</v>
      </c>
    </row>
    <row r="41" spans="2:14" ht="42" customHeight="1" x14ac:dyDescent="0.2">
      <c r="B41" s="5" t="s">
        <v>354</v>
      </c>
      <c r="C41" s="5" t="s">
        <v>151</v>
      </c>
      <c r="D41" s="21" t="s">
        <v>152</v>
      </c>
      <c r="E41" s="29">
        <v>2025</v>
      </c>
      <c r="F41" s="24">
        <v>45698</v>
      </c>
      <c r="G41" s="12">
        <v>21578849</v>
      </c>
      <c r="H41" s="12"/>
      <c r="I41" s="12"/>
      <c r="J41" s="12">
        <f>IF(G41="","",G41-N(I41))</f>
        <v>21578849</v>
      </c>
      <c r="K41" s="12">
        <f>IF(G41="","",J41-N(H41))</f>
        <v>21578849</v>
      </c>
      <c r="L41" s="12">
        <v>21578849</v>
      </c>
      <c r="M41" s="12">
        <f>IF(G41="","",G41-N(L41))</f>
        <v>0</v>
      </c>
      <c r="N41" s="5" t="s">
        <v>504</v>
      </c>
    </row>
    <row r="42" spans="2:14" ht="18" customHeight="1" x14ac:dyDescent="0.2">
      <c r="B42" s="5"/>
      <c r="C42" s="5"/>
      <c r="D42" s="21"/>
      <c r="E42" s="29"/>
      <c r="F42" s="24"/>
      <c r="G42" s="12"/>
      <c r="H42" s="12"/>
      <c r="I42" s="12"/>
      <c r="J42" s="12" t="str">
        <f>IF(G42="","",G42-N(I42))</f>
        <v/>
      </c>
      <c r="K42" s="12" t="str">
        <f>IF(G42="","",J42-N(H42))</f>
        <v/>
      </c>
      <c r="L42" s="12"/>
      <c r="M42" s="12" t="str">
        <f>IF(G42="","",G42-N(L42))</f>
        <v/>
      </c>
      <c r="N42" s="5"/>
    </row>
    <row r="43" spans="2:14" ht="18" customHeight="1" x14ac:dyDescent="0.2">
      <c r="B43" s="5"/>
      <c r="C43" s="5"/>
      <c r="D43" s="21"/>
      <c r="E43" s="29"/>
      <c r="F43" s="24"/>
      <c r="G43" s="12"/>
      <c r="H43" s="12"/>
      <c r="I43" s="12"/>
      <c r="J43" s="12" t="str">
        <f>IF(G43="","",G43-N(I43))</f>
        <v/>
      </c>
      <c r="K43" s="12" t="str">
        <f>IF(G43="","",J43-N(H43))</f>
        <v/>
      </c>
      <c r="L43" s="12"/>
      <c r="M43" s="12" t="str">
        <f>IF(G43="","",G43-N(L43))</f>
        <v/>
      </c>
      <c r="N43" s="5"/>
    </row>
    <row r="44" spans="2:14" ht="18" customHeight="1" x14ac:dyDescent="0.2">
      <c r="B44" s="5"/>
      <c r="C44" s="5"/>
      <c r="D44" s="21"/>
      <c r="E44" s="29"/>
      <c r="F44" s="24"/>
      <c r="G44" s="12"/>
      <c r="H44" s="12"/>
      <c r="I44" s="12"/>
      <c r="J44" s="12" t="str">
        <f>IF(G44="","",G44-N(I44))</f>
        <v/>
      </c>
      <c r="K44" s="12" t="str">
        <f>IF(G44="","",J44-N(H44))</f>
        <v/>
      </c>
      <c r="L44" s="12"/>
      <c r="M44" s="12" t="str">
        <f>IF(G44="","",G44-N(L44))</f>
        <v/>
      </c>
      <c r="N44" s="5"/>
    </row>
    <row r="45" spans="2:14" ht="19.5" customHeight="1" x14ac:dyDescent="0.2">
      <c r="B45" s="4" t="s">
        <v>432</v>
      </c>
      <c r="C45" s="17"/>
      <c r="D45" s="17"/>
      <c r="E45" s="17"/>
      <c r="F45" s="17"/>
      <c r="G45" s="15">
        <f t="shared" ref="G45:M45" si="0">SUM(G41:G44)</f>
        <v>21578849</v>
      </c>
      <c r="H45" s="15">
        <f t="shared" si="0"/>
        <v>0</v>
      </c>
      <c r="I45" s="15">
        <f t="shared" si="0"/>
        <v>0</v>
      </c>
      <c r="J45" s="15">
        <f t="shared" si="0"/>
        <v>21578849</v>
      </c>
      <c r="K45" s="15">
        <f t="shared" si="0"/>
        <v>21578849</v>
      </c>
      <c r="L45" s="15">
        <f t="shared" si="0"/>
        <v>21578849</v>
      </c>
      <c r="M45" s="15">
        <f t="shared" si="0"/>
        <v>0</v>
      </c>
      <c r="N45" s="17"/>
    </row>
    <row r="46" spans="2:14" ht="19.5" customHeight="1" x14ac:dyDescent="0.2">
      <c r="B46" s="4" t="s">
        <v>433</v>
      </c>
      <c r="C46" s="17"/>
      <c r="D46" s="17"/>
      <c r="E46" s="17"/>
      <c r="F46" s="17"/>
      <c r="G46" s="15">
        <f>SUMIFS(G41:G44,$E$41:$E$44,2026)</f>
        <v>0</v>
      </c>
      <c r="H46" s="17"/>
      <c r="I46" s="15">
        <f>SUMIFS(I41:I44,$E$41:$E$44,2026)</f>
        <v>0</v>
      </c>
      <c r="J46" s="17"/>
      <c r="K46" s="15">
        <f>SUMIFS(K41:K44,$E$41:$E$44,2026)</f>
        <v>0</v>
      </c>
      <c r="L46" s="15">
        <f>SUMIFS(L41:L44,$E$41:$E$44,2026)</f>
        <v>0</v>
      </c>
      <c r="M46" s="15">
        <f>SUMIFS(M41:M44,$E$41:$E$44,2026)</f>
        <v>0</v>
      </c>
      <c r="N46" s="17"/>
    </row>
    <row r="48" spans="2:14" ht="25.5" customHeight="1" x14ac:dyDescent="0.2">
      <c r="B48" s="39" t="s">
        <v>434</v>
      </c>
      <c r="C48" s="39"/>
      <c r="D48" s="39"/>
      <c r="E48" s="39"/>
      <c r="F48" s="39"/>
      <c r="G48" s="39"/>
      <c r="H48" s="39"/>
      <c r="I48" s="39"/>
      <c r="J48" s="39"/>
      <c r="K48" s="39"/>
      <c r="L48" s="39"/>
      <c r="M48" s="39"/>
      <c r="N48" s="39"/>
    </row>
    <row r="49" spans="2:14" ht="30" customHeight="1" x14ac:dyDescent="0.2">
      <c r="B49" s="2" t="s">
        <v>435</v>
      </c>
      <c r="C49" s="2" t="s">
        <v>416</v>
      </c>
      <c r="D49" s="2" t="s">
        <v>70</v>
      </c>
      <c r="E49" s="2" t="s">
        <v>436</v>
      </c>
      <c r="F49" s="2" t="s">
        <v>437</v>
      </c>
      <c r="G49" s="2" t="s">
        <v>35</v>
      </c>
      <c r="H49" s="2" t="s">
        <v>110</v>
      </c>
      <c r="I49" s="2" t="s">
        <v>36</v>
      </c>
      <c r="J49" s="2" t="s">
        <v>438</v>
      </c>
      <c r="K49" s="46" t="s">
        <v>114</v>
      </c>
      <c r="L49" s="46"/>
      <c r="M49" s="46"/>
      <c r="N49" s="2" t="s">
        <v>116</v>
      </c>
    </row>
    <row r="50" spans="2:14" ht="51.75" customHeight="1" x14ac:dyDescent="0.2">
      <c r="B50" s="5" t="s">
        <v>149</v>
      </c>
      <c r="C50" s="5" t="s">
        <v>151</v>
      </c>
      <c r="D50" s="21" t="s">
        <v>76</v>
      </c>
      <c r="E50" s="24"/>
      <c r="F50" s="24">
        <v>46318</v>
      </c>
      <c r="G50" s="12">
        <v>22700000</v>
      </c>
      <c r="H50" s="22"/>
      <c r="I50" s="12" t="str">
        <f>IF(OR(G50="",H50=""),"",G50*H50)</f>
        <v/>
      </c>
      <c r="J50" s="5" t="s">
        <v>83</v>
      </c>
      <c r="K50" s="38" t="s">
        <v>505</v>
      </c>
      <c r="L50" s="38"/>
      <c r="M50" s="38"/>
      <c r="N50" s="5" t="s">
        <v>506</v>
      </c>
    </row>
    <row r="51" spans="2:14" ht="51.75" customHeight="1" x14ac:dyDescent="0.2">
      <c r="B51" s="5" t="s">
        <v>507</v>
      </c>
      <c r="C51" s="5"/>
      <c r="D51" s="21" t="s">
        <v>75</v>
      </c>
      <c r="E51" s="24"/>
      <c r="F51" s="24"/>
      <c r="G51" s="12">
        <v>59000000</v>
      </c>
      <c r="H51" s="22"/>
      <c r="I51" s="12" t="str">
        <f>IF(OR(G51="",H51=""),"",G51*H51)</f>
        <v/>
      </c>
      <c r="J51" s="5" t="s">
        <v>83</v>
      </c>
      <c r="K51" s="38" t="s">
        <v>508</v>
      </c>
      <c r="L51" s="38"/>
      <c r="M51" s="38"/>
      <c r="N51" s="5" t="s">
        <v>509</v>
      </c>
    </row>
    <row r="52" spans="2:14" ht="18" customHeight="1" x14ac:dyDescent="0.2">
      <c r="B52" s="5"/>
      <c r="C52" s="5"/>
      <c r="D52" s="21"/>
      <c r="E52" s="24"/>
      <c r="F52" s="24"/>
      <c r="G52" s="12"/>
      <c r="H52" s="22"/>
      <c r="I52" s="12" t="str">
        <f>IF(OR(G52="",H52=""),"",G52*H52)</f>
        <v/>
      </c>
      <c r="J52" s="5"/>
      <c r="K52" s="38"/>
      <c r="L52" s="38"/>
      <c r="M52" s="38"/>
      <c r="N52" s="5"/>
    </row>
    <row r="53" spans="2:14" ht="18" customHeight="1" x14ac:dyDescent="0.2">
      <c r="B53" s="5"/>
      <c r="C53" s="5"/>
      <c r="D53" s="21"/>
      <c r="E53" s="24"/>
      <c r="F53" s="24"/>
      <c r="G53" s="12"/>
      <c r="H53" s="22"/>
      <c r="I53" s="12" t="str">
        <f>IF(OR(G53="",H53=""),"",G53*H53)</f>
        <v/>
      </c>
      <c r="J53" s="5"/>
      <c r="K53" s="38"/>
      <c r="L53" s="38"/>
      <c r="M53" s="38"/>
      <c r="N53" s="5"/>
    </row>
    <row r="54" spans="2:14" ht="19.5" customHeight="1" x14ac:dyDescent="0.2">
      <c r="B54" s="4" t="s">
        <v>441</v>
      </c>
      <c r="C54" s="17"/>
      <c r="D54" s="17"/>
      <c r="E54" s="17"/>
      <c r="F54" s="17"/>
      <c r="G54" s="15">
        <f>SUM(G50:G53)</f>
        <v>81700000</v>
      </c>
      <c r="H54" s="17"/>
      <c r="I54" s="15">
        <f>SUM(I50:I53)</f>
        <v>0</v>
      </c>
      <c r="J54" s="17"/>
      <c r="K54" s="17"/>
      <c r="L54" s="17"/>
      <c r="M54" s="17"/>
      <c r="N54" s="17"/>
    </row>
    <row r="56" spans="2:14" ht="25.5" customHeight="1" x14ac:dyDescent="0.2">
      <c r="B56" s="39" t="s">
        <v>442</v>
      </c>
      <c r="C56" s="39"/>
      <c r="D56" s="39"/>
      <c r="E56" s="39"/>
      <c r="F56" s="39"/>
      <c r="G56" s="39"/>
      <c r="H56" s="39"/>
      <c r="I56" s="39"/>
      <c r="J56" s="39"/>
      <c r="K56" s="39"/>
      <c r="L56" s="39"/>
      <c r="M56" s="39"/>
      <c r="N56" s="39"/>
    </row>
    <row r="57" spans="2:14" ht="30" customHeight="1" x14ac:dyDescent="0.2">
      <c r="B57" s="2" t="s">
        <v>443</v>
      </c>
      <c r="C57" s="2" t="s">
        <v>107</v>
      </c>
      <c r="D57" s="2" t="s">
        <v>113</v>
      </c>
      <c r="E57" s="2" t="s">
        <v>115</v>
      </c>
      <c r="F57" s="2" t="s">
        <v>438</v>
      </c>
      <c r="G57" s="46" t="s">
        <v>444</v>
      </c>
      <c r="H57" s="46"/>
      <c r="I57" s="46"/>
      <c r="J57" s="46"/>
      <c r="K57" s="46"/>
      <c r="L57" s="46"/>
      <c r="M57" s="46"/>
      <c r="N57" s="2" t="s">
        <v>116</v>
      </c>
    </row>
    <row r="58" spans="2:14" ht="36" customHeight="1" x14ac:dyDescent="0.2">
      <c r="B58" s="5" t="s">
        <v>510</v>
      </c>
      <c r="C58" s="5" t="s">
        <v>151</v>
      </c>
      <c r="D58" s="21" t="s">
        <v>146</v>
      </c>
      <c r="E58" s="24"/>
      <c r="F58" s="5" t="s">
        <v>83</v>
      </c>
      <c r="G58" s="38" t="s">
        <v>511</v>
      </c>
      <c r="H58" s="38"/>
      <c r="I58" s="38"/>
      <c r="J58" s="38"/>
      <c r="K58" s="38"/>
      <c r="L58" s="38"/>
      <c r="M58" s="38"/>
      <c r="N58" s="5"/>
    </row>
    <row r="59" spans="2:14" ht="18" customHeight="1" x14ac:dyDescent="0.2">
      <c r="B59" s="5"/>
      <c r="C59" s="5"/>
      <c r="D59" s="21"/>
      <c r="E59" s="24"/>
      <c r="F59" s="5"/>
      <c r="G59" s="38"/>
      <c r="H59" s="38"/>
      <c r="I59" s="38"/>
      <c r="J59" s="38"/>
      <c r="K59" s="38"/>
      <c r="L59" s="38"/>
      <c r="M59" s="38"/>
      <c r="N59" s="5"/>
    </row>
    <row r="60" spans="2:14" ht="18" customHeight="1" x14ac:dyDescent="0.2">
      <c r="B60" s="5"/>
      <c r="C60" s="5"/>
      <c r="D60" s="21"/>
      <c r="E60" s="24"/>
      <c r="F60" s="5"/>
      <c r="G60" s="38"/>
      <c r="H60" s="38"/>
      <c r="I60" s="38"/>
      <c r="J60" s="38"/>
      <c r="K60" s="38"/>
      <c r="L60" s="38"/>
      <c r="M60" s="38"/>
      <c r="N60" s="5"/>
    </row>
    <row r="61" spans="2:14" ht="18" customHeight="1" x14ac:dyDescent="0.2">
      <c r="B61" s="5"/>
      <c r="C61" s="5"/>
      <c r="D61" s="21"/>
      <c r="E61" s="24"/>
      <c r="F61" s="5"/>
      <c r="G61" s="38"/>
      <c r="H61" s="38"/>
      <c r="I61" s="38"/>
      <c r="J61" s="38"/>
      <c r="K61" s="38"/>
      <c r="L61" s="38"/>
      <c r="M61" s="38"/>
      <c r="N61" s="5"/>
    </row>
  </sheetData>
  <mergeCells count="86">
    <mergeCell ref="B2:N2"/>
    <mergeCell ref="B3:N3"/>
    <mergeCell ref="B4:N4"/>
    <mergeCell ref="B7:N7"/>
    <mergeCell ref="C8:N8"/>
    <mergeCell ref="C9:N9"/>
    <mergeCell ref="C10:N10"/>
    <mergeCell ref="C11:N11"/>
    <mergeCell ref="C12:N12"/>
    <mergeCell ref="C13:N13"/>
    <mergeCell ref="C14:N14"/>
    <mergeCell ref="C15:N15"/>
    <mergeCell ref="C16:N16"/>
    <mergeCell ref="C17:N17"/>
    <mergeCell ref="C18:N18"/>
    <mergeCell ref="C19:N19"/>
    <mergeCell ref="B21:N21"/>
    <mergeCell ref="C22:D22"/>
    <mergeCell ref="F22:N22"/>
    <mergeCell ref="C23:D23"/>
    <mergeCell ref="F23:N23"/>
    <mergeCell ref="C24:D24"/>
    <mergeCell ref="F24:N24"/>
    <mergeCell ref="C25:D25"/>
    <mergeCell ref="F25:N25"/>
    <mergeCell ref="C26:D26"/>
    <mergeCell ref="F26:N26"/>
    <mergeCell ref="B28:N28"/>
    <mergeCell ref="C29:D29"/>
    <mergeCell ref="E29:F29"/>
    <mergeCell ref="G29:H29"/>
    <mergeCell ref="I29:K29"/>
    <mergeCell ref="L29:N29"/>
    <mergeCell ref="C30:D30"/>
    <mergeCell ref="E30:F30"/>
    <mergeCell ref="G30:H30"/>
    <mergeCell ref="I30:K30"/>
    <mergeCell ref="L30:N30"/>
    <mergeCell ref="C31:D31"/>
    <mergeCell ref="E31:F31"/>
    <mergeCell ref="G31:H31"/>
    <mergeCell ref="I31:K31"/>
    <mergeCell ref="L31:N31"/>
    <mergeCell ref="C32:D32"/>
    <mergeCell ref="E32:F32"/>
    <mergeCell ref="G32:H32"/>
    <mergeCell ref="I32:K32"/>
    <mergeCell ref="L32:N32"/>
    <mergeCell ref="C33:D33"/>
    <mergeCell ref="E33:F33"/>
    <mergeCell ref="G33:H33"/>
    <mergeCell ref="I33:K33"/>
    <mergeCell ref="L33:N33"/>
    <mergeCell ref="C34:D34"/>
    <mergeCell ref="E34:F34"/>
    <mergeCell ref="G34:H34"/>
    <mergeCell ref="I34:K34"/>
    <mergeCell ref="L34:N34"/>
    <mergeCell ref="C35:D35"/>
    <mergeCell ref="E35:F35"/>
    <mergeCell ref="G35:H35"/>
    <mergeCell ref="I35:K35"/>
    <mergeCell ref="L35:N35"/>
    <mergeCell ref="C36:D36"/>
    <mergeCell ref="E36:F36"/>
    <mergeCell ref="G36:H36"/>
    <mergeCell ref="I36:K36"/>
    <mergeCell ref="L36:N36"/>
    <mergeCell ref="C37:D37"/>
    <mergeCell ref="E37:F37"/>
    <mergeCell ref="G37:H37"/>
    <mergeCell ref="I37:K37"/>
    <mergeCell ref="L37:N37"/>
    <mergeCell ref="B39:N39"/>
    <mergeCell ref="B48:N48"/>
    <mergeCell ref="K49:M49"/>
    <mergeCell ref="K50:M50"/>
    <mergeCell ref="K51:M51"/>
    <mergeCell ref="G59:M59"/>
    <mergeCell ref="G60:M60"/>
    <mergeCell ref="G61:M61"/>
    <mergeCell ref="K52:M52"/>
    <mergeCell ref="K53:M53"/>
    <mergeCell ref="B56:N56"/>
    <mergeCell ref="G57:M57"/>
    <mergeCell ref="G58:M58"/>
  </mergeCells>
  <conditionalFormatting sqref="E23:E26">
    <cfRule type="expression" dxfId="22" priority="2">
      <formula>$E23="Confirmé"</formula>
    </cfRule>
    <cfRule type="expression" dxfId="21" priority="3">
      <formula>$E23="À confirmer"</formula>
    </cfRule>
    <cfRule type="expression" dxfId="20" priority="4">
      <formula>$E23="Non trouvé"</formula>
    </cfRule>
  </conditionalFormatting>
  <hyperlinks>
    <hyperlink ref="B5" r:id="rId1" location="'Synthèse'!A1" xr:uid="{00000000-0004-0000-0400-000000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showErrorMessage="1" error="Choisir une valeur dans la liste" xr:uid="{00000000-0002-0000-0400-000000000000}">
          <x14:formula1>
            <xm:f>Listes!$C$2:$C$5</xm:f>
          </x14:formula1>
          <x14:formula2>
            <xm:f>0</xm:f>
          </x14:formula2>
          <xm:sqref>C13 F58:F61 J50:J53</xm:sqref>
        </x14:dataValidation>
        <x14:dataValidation type="list" allowBlank="1" showErrorMessage="1" error="Choisir une valeur dans la liste" xr:uid="{00000000-0002-0000-0400-000001000000}">
          <x14:formula1>
            <xm:f>Listes!$G$2:$G$4</xm:f>
          </x14:formula1>
          <x14:formula2>
            <xm:f>0</xm:f>
          </x14:formula2>
          <xm:sqref>C15</xm:sqref>
        </x14:dataValidation>
        <x14:dataValidation type="list" allowBlank="1" showErrorMessage="1" error="Choisir une valeur dans la liste" xr:uid="{00000000-0002-0000-0400-000002000000}">
          <x14:formula1>
            <xm:f>Listes!$D$2:$D$4</xm:f>
          </x14:formula1>
          <x14:formula2>
            <xm:f>0</xm:f>
          </x14:formula2>
          <xm:sqref>D41:D44</xm:sqref>
        </x14:dataValidation>
        <x14:dataValidation type="list" allowBlank="1" showErrorMessage="1" error="Choisir une valeur dans la liste" xr:uid="{00000000-0002-0000-0400-000003000000}">
          <x14:formula1>
            <xm:f>Listes!$A$2:$A$10</xm:f>
          </x14:formula1>
          <x14:formula2>
            <xm:f>0</xm:f>
          </x14:formula2>
          <xm:sqref>D50:D53</xm:sqref>
        </x14:dataValidation>
        <x14:dataValidation type="list" allowBlank="1" showErrorMessage="1" error="Choisir une valeur dans la liste" xr:uid="{00000000-0002-0000-0400-000005000000}">
          <x14:formula1>
            <xm:f>Listes!$E$2:$E$4</xm:f>
          </x14:formula1>
          <x14:formula2>
            <xm:f>0</xm:f>
          </x14:formula2>
          <xm:sqref>D58:D61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8C9B0"/>
    <pageSetUpPr fitToPage="1"/>
  </sheetPr>
  <dimension ref="B2:N54"/>
  <sheetViews>
    <sheetView showGridLines="0" zoomScale="221" zoomScaleNormal="221" workbookViewId="0">
      <pane xSplit="2" ySplit="5" topLeftCell="C12" activePane="bottomRight" state="frozen"/>
      <selection pane="topRight" activeCell="C1" sqref="C1"/>
      <selection pane="bottomLeft" activeCell="A6" sqref="A6"/>
      <selection pane="bottomRight"/>
    </sheetView>
  </sheetViews>
  <sheetFormatPr baseColWidth="10" defaultColWidth="8.6640625" defaultRowHeight="15" x14ac:dyDescent="0.2"/>
  <cols>
    <col min="1" max="1" width="3" customWidth="1"/>
    <col min="2" max="2" width="34" customWidth="1"/>
    <col min="3" max="3" width="20" customWidth="1"/>
    <col min="4" max="4" width="14" customWidth="1"/>
    <col min="5" max="5" width="10" customWidth="1"/>
    <col min="6" max="6" width="13" customWidth="1"/>
    <col min="7" max="7" width="15" customWidth="1"/>
    <col min="8" max="9" width="14" customWidth="1"/>
    <col min="10" max="13" width="15" customWidth="1"/>
    <col min="14" max="14" width="46" customWidth="1"/>
  </cols>
  <sheetData>
    <row r="2" spans="2:14" ht="34.5" customHeight="1" x14ac:dyDescent="0.2">
      <c r="B2" s="40" t="s">
        <v>512</v>
      </c>
      <c r="C2" s="40"/>
      <c r="D2" s="40"/>
      <c r="E2" s="40"/>
      <c r="F2" s="40"/>
      <c r="G2" s="40"/>
      <c r="H2" s="40"/>
      <c r="I2" s="40"/>
      <c r="J2" s="40"/>
      <c r="K2" s="40"/>
      <c r="L2" s="40"/>
      <c r="M2" s="40"/>
      <c r="N2" s="40"/>
    </row>
    <row r="3" spans="2:14" ht="19.5" customHeight="1" x14ac:dyDescent="0.2">
      <c r="B3" s="41" t="s">
        <v>377</v>
      </c>
      <c r="C3" s="41"/>
      <c r="D3" s="41"/>
      <c r="E3" s="41"/>
      <c r="F3" s="41"/>
      <c r="G3" s="41"/>
      <c r="H3" s="41"/>
      <c r="I3" s="41"/>
      <c r="J3" s="41"/>
      <c r="K3" s="41"/>
      <c r="L3" s="41"/>
      <c r="M3" s="41"/>
      <c r="N3" s="41"/>
    </row>
    <row r="4" spans="2:14" ht="18" customHeight="1" x14ac:dyDescent="0.2">
      <c r="B4" s="41" t="s">
        <v>378</v>
      </c>
      <c r="C4" s="41"/>
      <c r="D4" s="41"/>
      <c r="E4" s="41"/>
      <c r="F4" s="41"/>
      <c r="G4" s="41"/>
      <c r="H4" s="41"/>
      <c r="I4" s="41"/>
      <c r="J4" s="41"/>
      <c r="K4" s="41"/>
      <c r="L4" s="41"/>
      <c r="M4" s="41"/>
      <c r="N4" s="41"/>
    </row>
    <row r="5" spans="2:14" x14ac:dyDescent="0.2">
      <c r="B5" s="20" t="s">
        <v>102</v>
      </c>
    </row>
    <row r="7" spans="2:14" ht="25.5" customHeight="1" x14ac:dyDescent="0.2">
      <c r="B7" s="39" t="s">
        <v>379</v>
      </c>
      <c r="C7" s="39"/>
      <c r="D7" s="39"/>
      <c r="E7" s="39"/>
      <c r="F7" s="39"/>
      <c r="G7" s="39"/>
      <c r="H7" s="39"/>
      <c r="I7" s="39"/>
      <c r="J7" s="39"/>
      <c r="K7" s="39"/>
      <c r="L7" s="39"/>
      <c r="M7" s="39"/>
      <c r="N7" s="39"/>
    </row>
    <row r="8" spans="2:14" ht="18" customHeight="1" x14ac:dyDescent="0.2">
      <c r="B8" s="6" t="s">
        <v>380</v>
      </c>
      <c r="C8" s="38" t="s">
        <v>513</v>
      </c>
      <c r="D8" s="38"/>
      <c r="E8" s="38"/>
      <c r="F8" s="38"/>
      <c r="G8" s="38"/>
      <c r="H8" s="38"/>
      <c r="I8" s="38"/>
      <c r="J8" s="38"/>
      <c r="K8" s="38"/>
      <c r="L8" s="38"/>
      <c r="M8" s="38"/>
      <c r="N8" s="38"/>
    </row>
    <row r="9" spans="2:14" ht="30" customHeight="1" x14ac:dyDescent="0.2">
      <c r="B9" s="6" t="s">
        <v>382</v>
      </c>
      <c r="C9" s="38" t="s">
        <v>514</v>
      </c>
      <c r="D9" s="38"/>
      <c r="E9" s="38"/>
      <c r="F9" s="38"/>
      <c r="G9" s="38"/>
      <c r="H9" s="38"/>
      <c r="I9" s="38"/>
      <c r="J9" s="38"/>
      <c r="K9" s="38"/>
      <c r="L9" s="38"/>
      <c r="M9" s="38"/>
      <c r="N9" s="38"/>
    </row>
    <row r="10" spans="2:14" ht="18" customHeight="1" x14ac:dyDescent="0.2">
      <c r="B10" s="6" t="s">
        <v>384</v>
      </c>
      <c r="C10" s="48"/>
      <c r="D10" s="48"/>
      <c r="E10" s="48"/>
      <c r="F10" s="48"/>
      <c r="G10" s="48"/>
      <c r="H10" s="48"/>
      <c r="I10" s="48"/>
      <c r="J10" s="48"/>
      <c r="K10" s="48"/>
      <c r="L10" s="48"/>
      <c r="M10" s="48"/>
      <c r="N10" s="48"/>
    </row>
    <row r="11" spans="2:14" ht="18" customHeight="1" x14ac:dyDescent="0.2">
      <c r="B11" s="6" t="s">
        <v>385</v>
      </c>
      <c r="C11" s="48"/>
      <c r="D11" s="48"/>
      <c r="E11" s="48"/>
      <c r="F11" s="48"/>
      <c r="G11" s="48"/>
      <c r="H11" s="48"/>
      <c r="I11" s="48"/>
      <c r="J11" s="48"/>
      <c r="K11" s="48"/>
      <c r="L11" s="48"/>
      <c r="M11" s="48"/>
      <c r="N11" s="48"/>
    </row>
    <row r="12" spans="2:14" ht="18" customHeight="1" x14ac:dyDescent="0.2">
      <c r="B12" s="6" t="s">
        <v>386</v>
      </c>
      <c r="C12" s="38" t="s">
        <v>83</v>
      </c>
      <c r="D12" s="38"/>
      <c r="E12" s="38"/>
      <c r="F12" s="38"/>
      <c r="G12" s="38"/>
      <c r="H12" s="38"/>
      <c r="I12" s="38"/>
      <c r="J12" s="38"/>
      <c r="K12" s="38"/>
      <c r="L12" s="38"/>
      <c r="M12" s="38"/>
      <c r="N12" s="38"/>
    </row>
    <row r="13" spans="2:14" ht="18" customHeight="1" x14ac:dyDescent="0.2">
      <c r="B13" s="6" t="s">
        <v>387</v>
      </c>
      <c r="C13" s="48"/>
      <c r="D13" s="48"/>
      <c r="E13" s="48"/>
      <c r="F13" s="48"/>
      <c r="G13" s="48"/>
      <c r="H13" s="48"/>
      <c r="I13" s="48"/>
      <c r="J13" s="48"/>
      <c r="K13" s="48"/>
      <c r="L13" s="48"/>
      <c r="M13" s="48"/>
      <c r="N13" s="48"/>
    </row>
    <row r="14" spans="2:14" ht="18" customHeight="1" x14ac:dyDescent="0.2">
      <c r="B14" s="6" t="s">
        <v>388</v>
      </c>
      <c r="C14" s="48"/>
      <c r="D14" s="48"/>
      <c r="E14" s="48"/>
      <c r="F14" s="48"/>
      <c r="G14" s="48"/>
      <c r="H14" s="48"/>
      <c r="I14" s="48"/>
      <c r="J14" s="48"/>
      <c r="K14" s="48"/>
      <c r="L14" s="48"/>
      <c r="M14" s="48"/>
      <c r="N14" s="48"/>
    </row>
    <row r="15" spans="2:14" ht="18" customHeight="1" x14ac:dyDescent="0.2">
      <c r="B15" s="6" t="s">
        <v>389</v>
      </c>
      <c r="C15" s="48"/>
      <c r="D15" s="48"/>
      <c r="E15" s="48"/>
      <c r="F15" s="48"/>
      <c r="G15" s="48"/>
      <c r="H15" s="48"/>
      <c r="I15" s="48"/>
      <c r="J15" s="48"/>
      <c r="K15" s="48"/>
      <c r="L15" s="48"/>
      <c r="M15" s="48"/>
      <c r="N15" s="48"/>
    </row>
    <row r="16" spans="2:14" ht="18" customHeight="1" x14ac:dyDescent="0.2">
      <c r="B16" s="6" t="s">
        <v>390</v>
      </c>
      <c r="C16" s="49"/>
      <c r="D16" s="49"/>
      <c r="E16" s="49"/>
      <c r="F16" s="49"/>
      <c r="G16" s="49"/>
      <c r="H16" s="49"/>
      <c r="I16" s="49"/>
      <c r="J16" s="49"/>
      <c r="K16" s="49"/>
      <c r="L16" s="49"/>
      <c r="M16" s="49"/>
      <c r="N16" s="49"/>
    </row>
    <row r="17" spans="2:14" ht="18" customHeight="1" x14ac:dyDescent="0.2">
      <c r="B17" s="6" t="s">
        <v>391</v>
      </c>
      <c r="C17" s="49"/>
      <c r="D17" s="49"/>
      <c r="E17" s="49"/>
      <c r="F17" s="49"/>
      <c r="G17" s="49"/>
      <c r="H17" s="49"/>
      <c r="I17" s="49"/>
      <c r="J17" s="49"/>
      <c r="K17" s="49"/>
      <c r="L17" s="49"/>
      <c r="M17" s="49"/>
      <c r="N17" s="49"/>
    </row>
    <row r="18" spans="2:14" ht="30" customHeight="1" x14ac:dyDescent="0.2">
      <c r="B18" s="6" t="s">
        <v>392</v>
      </c>
      <c r="C18" s="38" t="s">
        <v>515</v>
      </c>
      <c r="D18" s="38"/>
      <c r="E18" s="38"/>
      <c r="F18" s="38"/>
      <c r="G18" s="38"/>
      <c r="H18" s="38"/>
      <c r="I18" s="38"/>
      <c r="J18" s="38"/>
      <c r="K18" s="38"/>
      <c r="L18" s="38"/>
      <c r="M18" s="38"/>
      <c r="N18" s="38"/>
    </row>
    <row r="20" spans="2:14" ht="25.5" customHeight="1" x14ac:dyDescent="0.2">
      <c r="B20" s="39" t="s">
        <v>516</v>
      </c>
      <c r="C20" s="39"/>
      <c r="D20" s="39"/>
      <c r="E20" s="39"/>
      <c r="F20" s="39"/>
      <c r="G20" s="39"/>
      <c r="H20" s="39"/>
      <c r="I20" s="39"/>
      <c r="J20" s="39"/>
      <c r="K20" s="39"/>
      <c r="L20" s="39"/>
      <c r="M20" s="39"/>
      <c r="N20" s="39"/>
    </row>
    <row r="21" spans="2:14" ht="30" customHeight="1" x14ac:dyDescent="0.2">
      <c r="B21" s="2" t="s">
        <v>395</v>
      </c>
      <c r="C21" s="46" t="s">
        <v>396</v>
      </c>
      <c r="D21" s="46"/>
      <c r="E21" s="2" t="s">
        <v>397</v>
      </c>
      <c r="F21" s="46" t="s">
        <v>398</v>
      </c>
      <c r="G21" s="46"/>
      <c r="H21" s="46"/>
      <c r="I21" s="46"/>
      <c r="J21" s="46"/>
      <c r="K21" s="46"/>
      <c r="L21" s="46"/>
      <c r="M21" s="46"/>
      <c r="N21" s="46"/>
    </row>
    <row r="22" spans="2:14" ht="21.75" customHeight="1" x14ac:dyDescent="0.2">
      <c r="B22" s="6" t="s">
        <v>517</v>
      </c>
      <c r="C22" s="47" t="s">
        <v>518</v>
      </c>
      <c r="D22" s="47"/>
      <c r="E22" s="21" t="s">
        <v>401</v>
      </c>
      <c r="F22" s="38" t="s">
        <v>519</v>
      </c>
      <c r="G22" s="38"/>
      <c r="H22" s="38"/>
      <c r="I22" s="38"/>
      <c r="J22" s="38"/>
      <c r="K22" s="38"/>
      <c r="L22" s="38"/>
      <c r="M22" s="38"/>
      <c r="N22" s="38"/>
    </row>
    <row r="23" spans="2:14" ht="21.75" customHeight="1" x14ac:dyDescent="0.2">
      <c r="B23" s="6" t="s">
        <v>520</v>
      </c>
      <c r="C23" s="47" t="s">
        <v>521</v>
      </c>
      <c r="D23" s="47"/>
      <c r="E23" s="21" t="s">
        <v>86</v>
      </c>
      <c r="F23" s="38" t="s">
        <v>522</v>
      </c>
      <c r="G23" s="38"/>
      <c r="H23" s="38"/>
      <c r="I23" s="38"/>
      <c r="J23" s="38"/>
      <c r="K23" s="38"/>
      <c r="L23" s="38"/>
      <c r="M23" s="38"/>
      <c r="N23" s="38"/>
    </row>
    <row r="24" spans="2:14" ht="21.75" customHeight="1" x14ac:dyDescent="0.2">
      <c r="B24" s="6" t="s">
        <v>403</v>
      </c>
      <c r="C24" s="48" t="s">
        <v>154</v>
      </c>
      <c r="D24" s="48"/>
      <c r="E24" s="21" t="s">
        <v>407</v>
      </c>
      <c r="F24" s="38"/>
      <c r="G24" s="38"/>
      <c r="H24" s="38"/>
      <c r="I24" s="38"/>
      <c r="J24" s="38"/>
      <c r="K24" s="38"/>
      <c r="L24" s="38"/>
      <c r="M24" s="38"/>
      <c r="N24" s="38"/>
    </row>
    <row r="25" spans="2:14" ht="21.75" customHeight="1" x14ac:dyDescent="0.2">
      <c r="B25" s="6" t="s">
        <v>406</v>
      </c>
      <c r="C25" s="48" t="s">
        <v>154</v>
      </c>
      <c r="D25" s="48"/>
      <c r="E25" s="21" t="s">
        <v>407</v>
      </c>
      <c r="F25" s="38" t="s">
        <v>523</v>
      </c>
      <c r="G25" s="38"/>
      <c r="H25" s="38"/>
      <c r="I25" s="38"/>
      <c r="J25" s="38"/>
      <c r="K25" s="38"/>
      <c r="L25" s="38"/>
      <c r="M25" s="38"/>
      <c r="N25" s="38"/>
    </row>
    <row r="26" spans="2:14" ht="21.75" customHeight="1" x14ac:dyDescent="0.2">
      <c r="B26" s="6" t="s">
        <v>408</v>
      </c>
      <c r="C26" s="48" t="s">
        <v>154</v>
      </c>
      <c r="D26" s="48"/>
      <c r="E26" s="21" t="s">
        <v>407</v>
      </c>
      <c r="F26" s="38"/>
      <c r="G26" s="38"/>
      <c r="H26" s="38"/>
      <c r="I26" s="38"/>
      <c r="J26" s="38"/>
      <c r="K26" s="38"/>
      <c r="L26" s="38"/>
      <c r="M26" s="38"/>
      <c r="N26" s="38"/>
    </row>
    <row r="28" spans="2:14" ht="25.5" customHeight="1" x14ac:dyDescent="0.2">
      <c r="B28" s="39" t="s">
        <v>409</v>
      </c>
      <c r="C28" s="39"/>
      <c r="D28" s="39"/>
      <c r="E28" s="39"/>
      <c r="F28" s="39"/>
      <c r="G28" s="39"/>
      <c r="H28" s="39"/>
      <c r="I28" s="39"/>
      <c r="J28" s="39"/>
      <c r="K28" s="39"/>
      <c r="L28" s="39"/>
      <c r="M28" s="39"/>
      <c r="N28" s="39"/>
    </row>
    <row r="29" spans="2:14" ht="30" customHeight="1" x14ac:dyDescent="0.2">
      <c r="B29" s="2" t="s">
        <v>396</v>
      </c>
      <c r="C29" s="46" t="s">
        <v>395</v>
      </c>
      <c r="D29" s="46"/>
      <c r="E29" s="46" t="s">
        <v>410</v>
      </c>
      <c r="F29" s="46"/>
      <c r="G29" s="46" t="s">
        <v>411</v>
      </c>
      <c r="H29" s="46"/>
      <c r="I29" s="46" t="s">
        <v>412</v>
      </c>
      <c r="J29" s="46"/>
      <c r="K29" s="46"/>
      <c r="L29" s="46" t="s">
        <v>353</v>
      </c>
      <c r="M29" s="46"/>
      <c r="N29" s="46"/>
    </row>
    <row r="30" spans="2:14" ht="25.5" customHeight="1" x14ac:dyDescent="0.2">
      <c r="B30" s="3" t="s">
        <v>413</v>
      </c>
      <c r="C30" s="38"/>
      <c r="D30" s="38"/>
      <c r="E30" s="38"/>
      <c r="F30" s="38"/>
      <c r="G30" s="38"/>
      <c r="H30" s="38"/>
      <c r="I30" s="38"/>
      <c r="J30" s="38"/>
      <c r="K30" s="38"/>
      <c r="L30" s="38"/>
      <c r="M30" s="38"/>
      <c r="N30" s="38"/>
    </row>
    <row r="32" spans="2:14" ht="25.5" customHeight="1" x14ac:dyDescent="0.2">
      <c r="B32" s="39" t="s">
        <v>414</v>
      </c>
      <c r="C32" s="39"/>
      <c r="D32" s="39"/>
      <c r="E32" s="39"/>
      <c r="F32" s="39"/>
      <c r="G32" s="39"/>
      <c r="H32" s="39"/>
      <c r="I32" s="39"/>
      <c r="J32" s="39"/>
      <c r="K32" s="39"/>
      <c r="L32" s="39"/>
      <c r="M32" s="39"/>
      <c r="N32" s="39"/>
    </row>
    <row r="33" spans="2:14" ht="30" customHeight="1" x14ac:dyDescent="0.2">
      <c r="B33" s="2" t="s">
        <v>415</v>
      </c>
      <c r="C33" s="2" t="s">
        <v>416</v>
      </c>
      <c r="D33" s="2" t="s">
        <v>109</v>
      </c>
      <c r="E33" s="2" t="s">
        <v>417</v>
      </c>
      <c r="F33" s="2" t="s">
        <v>418</v>
      </c>
      <c r="G33" s="2" t="s">
        <v>419</v>
      </c>
      <c r="H33" s="2" t="s">
        <v>420</v>
      </c>
      <c r="I33" s="2" t="s">
        <v>37</v>
      </c>
      <c r="J33" s="2" t="s">
        <v>421</v>
      </c>
      <c r="K33" s="2" t="s">
        <v>422</v>
      </c>
      <c r="L33" s="2" t="s">
        <v>423</v>
      </c>
      <c r="M33" s="2" t="s">
        <v>55</v>
      </c>
      <c r="N33" s="2" t="s">
        <v>116</v>
      </c>
    </row>
    <row r="34" spans="2:14" ht="42" customHeight="1" x14ac:dyDescent="0.2">
      <c r="B34" s="5" t="s">
        <v>354</v>
      </c>
      <c r="C34" s="5" t="s">
        <v>151</v>
      </c>
      <c r="D34" s="21" t="s">
        <v>152</v>
      </c>
      <c r="E34" s="29">
        <v>2026</v>
      </c>
      <c r="F34" s="24">
        <v>46197</v>
      </c>
      <c r="G34" s="12">
        <v>28766400</v>
      </c>
      <c r="H34" s="12"/>
      <c r="I34" s="12"/>
      <c r="J34" s="12">
        <f>IF(G34="","",G34-N(I34))</f>
        <v>28766400</v>
      </c>
      <c r="K34" s="12">
        <f>IF(G34="","",J34-N(H34))</f>
        <v>28766400</v>
      </c>
      <c r="L34" s="12">
        <v>28766400</v>
      </c>
      <c r="M34" s="12">
        <f>IF(G34="","",G34-N(L34))</f>
        <v>0</v>
      </c>
      <c r="N34" s="5" t="s">
        <v>524</v>
      </c>
    </row>
    <row r="35" spans="2:14" ht="18" customHeight="1" x14ac:dyDescent="0.2">
      <c r="B35" s="5"/>
      <c r="C35" s="5"/>
      <c r="D35" s="21"/>
      <c r="E35" s="29"/>
      <c r="F35" s="24"/>
      <c r="G35" s="12"/>
      <c r="H35" s="12"/>
      <c r="I35" s="12"/>
      <c r="J35" s="12" t="str">
        <f>IF(G35="","",G35-N(I35))</f>
        <v/>
      </c>
      <c r="K35" s="12" t="str">
        <f>IF(G35="","",J35-N(H35))</f>
        <v/>
      </c>
      <c r="L35" s="12"/>
      <c r="M35" s="12" t="str">
        <f>IF(G35="","",G35-N(L35))</f>
        <v/>
      </c>
      <c r="N35" s="5"/>
    </row>
    <row r="36" spans="2:14" ht="18" customHeight="1" x14ac:dyDescent="0.2">
      <c r="B36" s="5"/>
      <c r="C36" s="5"/>
      <c r="D36" s="21"/>
      <c r="E36" s="29"/>
      <c r="F36" s="24"/>
      <c r="G36" s="12"/>
      <c r="H36" s="12"/>
      <c r="I36" s="12"/>
      <c r="J36" s="12" t="str">
        <f>IF(G36="","",G36-N(I36))</f>
        <v/>
      </c>
      <c r="K36" s="12" t="str">
        <f>IF(G36="","",J36-N(H36))</f>
        <v/>
      </c>
      <c r="L36" s="12"/>
      <c r="M36" s="12" t="str">
        <f>IF(G36="","",G36-N(L36))</f>
        <v/>
      </c>
      <c r="N36" s="5"/>
    </row>
    <row r="37" spans="2:14" ht="18" customHeight="1" x14ac:dyDescent="0.2">
      <c r="B37" s="5"/>
      <c r="C37" s="5"/>
      <c r="D37" s="21"/>
      <c r="E37" s="29"/>
      <c r="F37" s="24"/>
      <c r="G37" s="12"/>
      <c r="H37" s="12"/>
      <c r="I37" s="12"/>
      <c r="J37" s="12" t="str">
        <f>IF(G37="","",G37-N(I37))</f>
        <v/>
      </c>
      <c r="K37" s="12" t="str">
        <f>IF(G37="","",J37-N(H37))</f>
        <v/>
      </c>
      <c r="L37" s="12"/>
      <c r="M37" s="12" t="str">
        <f>IF(G37="","",G37-N(L37))</f>
        <v/>
      </c>
      <c r="N37" s="5"/>
    </row>
    <row r="38" spans="2:14" ht="19.5" customHeight="1" x14ac:dyDescent="0.2">
      <c r="B38" s="4" t="s">
        <v>432</v>
      </c>
      <c r="C38" s="17"/>
      <c r="D38" s="17"/>
      <c r="E38" s="17"/>
      <c r="F38" s="17"/>
      <c r="G38" s="15">
        <f t="shared" ref="G38:M38" si="0">SUM(G34:G37)</f>
        <v>28766400</v>
      </c>
      <c r="H38" s="15">
        <f t="shared" si="0"/>
        <v>0</v>
      </c>
      <c r="I38" s="15">
        <f t="shared" si="0"/>
        <v>0</v>
      </c>
      <c r="J38" s="15">
        <f t="shared" si="0"/>
        <v>28766400</v>
      </c>
      <c r="K38" s="15">
        <f t="shared" si="0"/>
        <v>28766400</v>
      </c>
      <c r="L38" s="15">
        <f t="shared" si="0"/>
        <v>28766400</v>
      </c>
      <c r="M38" s="15">
        <f t="shared" si="0"/>
        <v>0</v>
      </c>
      <c r="N38" s="17"/>
    </row>
    <row r="39" spans="2:14" ht="19.5" customHeight="1" x14ac:dyDescent="0.2">
      <c r="B39" s="4" t="s">
        <v>433</v>
      </c>
      <c r="C39" s="17"/>
      <c r="D39" s="17"/>
      <c r="E39" s="17"/>
      <c r="F39" s="17"/>
      <c r="G39" s="15">
        <f>SUMIFS(G34:G37,$E$34:$E$37,2026)</f>
        <v>28766400</v>
      </c>
      <c r="H39" s="17"/>
      <c r="I39" s="15">
        <f>SUMIFS(I34:I37,$E$34:$E$37,2026)</f>
        <v>0</v>
      </c>
      <c r="J39" s="17"/>
      <c r="K39" s="15">
        <f>SUMIFS(K34:K37,$E$34:$E$37,2026)</f>
        <v>28766400</v>
      </c>
      <c r="L39" s="15">
        <f>SUMIFS(L34:L37,$E$34:$E$37,2026)</f>
        <v>28766400</v>
      </c>
      <c r="M39" s="15">
        <f>SUMIFS(M34:M37,$E$34:$E$37,2026)</f>
        <v>0</v>
      </c>
      <c r="N39" s="17"/>
    </row>
    <row r="41" spans="2:14" ht="25.5" customHeight="1" x14ac:dyDescent="0.2">
      <c r="B41" s="39" t="s">
        <v>434</v>
      </c>
      <c r="C41" s="39"/>
      <c r="D41" s="39"/>
      <c r="E41" s="39"/>
      <c r="F41" s="39"/>
      <c r="G41" s="39"/>
      <c r="H41" s="39"/>
      <c r="I41" s="39"/>
      <c r="J41" s="39"/>
      <c r="K41" s="39"/>
      <c r="L41" s="39"/>
      <c r="M41" s="39"/>
      <c r="N41" s="39"/>
    </row>
    <row r="42" spans="2:14" ht="30" customHeight="1" x14ac:dyDescent="0.2">
      <c r="B42" s="2" t="s">
        <v>435</v>
      </c>
      <c r="C42" s="2" t="s">
        <v>416</v>
      </c>
      <c r="D42" s="2" t="s">
        <v>70</v>
      </c>
      <c r="E42" s="2" t="s">
        <v>436</v>
      </c>
      <c r="F42" s="2" t="s">
        <v>437</v>
      </c>
      <c r="G42" s="2" t="s">
        <v>35</v>
      </c>
      <c r="H42" s="2" t="s">
        <v>110</v>
      </c>
      <c r="I42" s="2" t="s">
        <v>36</v>
      </c>
      <c r="J42" s="2" t="s">
        <v>438</v>
      </c>
      <c r="K42" s="46" t="s">
        <v>114</v>
      </c>
      <c r="L42" s="46"/>
      <c r="M42" s="46"/>
      <c r="N42" s="2" t="s">
        <v>116</v>
      </c>
    </row>
    <row r="43" spans="2:14" ht="51.75" customHeight="1" x14ac:dyDescent="0.2">
      <c r="B43" s="5" t="s">
        <v>525</v>
      </c>
      <c r="C43" s="5" t="s">
        <v>151</v>
      </c>
      <c r="D43" s="21" t="s">
        <v>76</v>
      </c>
      <c r="E43" s="24"/>
      <c r="F43" s="24"/>
      <c r="G43" s="12">
        <v>4500000</v>
      </c>
      <c r="H43" s="22">
        <v>0.9</v>
      </c>
      <c r="I43" s="12">
        <f>IF(OR(G43="",H43=""),"",G43*H43)</f>
        <v>4050000</v>
      </c>
      <c r="J43" s="5" t="s">
        <v>83</v>
      </c>
      <c r="K43" s="38" t="s">
        <v>526</v>
      </c>
      <c r="L43" s="38"/>
      <c r="M43" s="38"/>
      <c r="N43" s="5" t="s">
        <v>527</v>
      </c>
    </row>
    <row r="44" spans="2:14" ht="51.75" customHeight="1" x14ac:dyDescent="0.2">
      <c r="B44" s="5" t="s">
        <v>528</v>
      </c>
      <c r="C44" s="5" t="s">
        <v>151</v>
      </c>
      <c r="D44" s="21" t="s">
        <v>74</v>
      </c>
      <c r="E44" s="24"/>
      <c r="F44" s="24"/>
      <c r="G44" s="27"/>
      <c r="H44" s="22"/>
      <c r="I44" s="12" t="str">
        <f>IF(OR(G44="",H44=""),"",G44*H44)</f>
        <v/>
      </c>
      <c r="J44" s="5" t="s">
        <v>83</v>
      </c>
      <c r="K44" s="38" t="s">
        <v>529</v>
      </c>
      <c r="L44" s="38"/>
      <c r="M44" s="38"/>
      <c r="N44" s="5"/>
    </row>
    <row r="45" spans="2:14" ht="18" customHeight="1" x14ac:dyDescent="0.2">
      <c r="B45" s="5"/>
      <c r="C45" s="5"/>
      <c r="D45" s="21"/>
      <c r="E45" s="24"/>
      <c r="F45" s="24"/>
      <c r="G45" s="12"/>
      <c r="H45" s="22"/>
      <c r="I45" s="12" t="str">
        <f>IF(OR(G45="",H45=""),"",G45*H45)</f>
        <v/>
      </c>
      <c r="J45" s="5"/>
      <c r="K45" s="38"/>
      <c r="L45" s="38"/>
      <c r="M45" s="38"/>
      <c r="N45" s="5"/>
    </row>
    <row r="46" spans="2:14" ht="18" customHeight="1" x14ac:dyDescent="0.2">
      <c r="B46" s="5"/>
      <c r="C46" s="5"/>
      <c r="D46" s="21"/>
      <c r="E46" s="24"/>
      <c r="F46" s="24"/>
      <c r="G46" s="12"/>
      <c r="H46" s="22"/>
      <c r="I46" s="12" t="str">
        <f>IF(OR(G46="",H46=""),"",G46*H46)</f>
        <v/>
      </c>
      <c r="J46" s="5"/>
      <c r="K46" s="38"/>
      <c r="L46" s="38"/>
      <c r="M46" s="38"/>
      <c r="N46" s="5"/>
    </row>
    <row r="47" spans="2:14" ht="19.5" customHeight="1" x14ac:dyDescent="0.2">
      <c r="B47" s="4" t="s">
        <v>441</v>
      </c>
      <c r="C47" s="17"/>
      <c r="D47" s="17"/>
      <c r="E47" s="17"/>
      <c r="F47" s="17"/>
      <c r="G47" s="15">
        <f>SUM(G43:G46)</f>
        <v>4500000</v>
      </c>
      <c r="H47" s="17"/>
      <c r="I47" s="15">
        <f>SUM(I43:I46)</f>
        <v>4050000</v>
      </c>
      <c r="J47" s="17"/>
      <c r="K47" s="17"/>
      <c r="L47" s="17"/>
      <c r="M47" s="17"/>
      <c r="N47" s="17"/>
    </row>
    <row r="49" spans="2:14" ht="25.5" customHeight="1" x14ac:dyDescent="0.2">
      <c r="B49" s="39" t="s">
        <v>442</v>
      </c>
      <c r="C49" s="39"/>
      <c r="D49" s="39"/>
      <c r="E49" s="39"/>
      <c r="F49" s="39"/>
      <c r="G49" s="39"/>
      <c r="H49" s="39"/>
      <c r="I49" s="39"/>
      <c r="J49" s="39"/>
      <c r="K49" s="39"/>
      <c r="L49" s="39"/>
      <c r="M49" s="39"/>
      <c r="N49" s="39"/>
    </row>
    <row r="50" spans="2:14" ht="30" customHeight="1" x14ac:dyDescent="0.2">
      <c r="B50" s="2" t="s">
        <v>443</v>
      </c>
      <c r="C50" s="2" t="s">
        <v>107</v>
      </c>
      <c r="D50" s="2" t="s">
        <v>113</v>
      </c>
      <c r="E50" s="2" t="s">
        <v>115</v>
      </c>
      <c r="F50" s="2" t="s">
        <v>438</v>
      </c>
      <c r="G50" s="46" t="s">
        <v>444</v>
      </c>
      <c r="H50" s="46"/>
      <c r="I50" s="46"/>
      <c r="J50" s="46"/>
      <c r="K50" s="46"/>
      <c r="L50" s="46"/>
      <c r="M50" s="46"/>
      <c r="N50" s="2" t="s">
        <v>116</v>
      </c>
    </row>
    <row r="51" spans="2:14" ht="36" customHeight="1" x14ac:dyDescent="0.2">
      <c r="B51" s="5" t="s">
        <v>530</v>
      </c>
      <c r="C51" s="5" t="s">
        <v>531</v>
      </c>
      <c r="D51" s="21" t="s">
        <v>132</v>
      </c>
      <c r="E51" s="24"/>
      <c r="F51" s="5" t="s">
        <v>83</v>
      </c>
      <c r="G51" s="38" t="s">
        <v>532</v>
      </c>
      <c r="H51" s="38"/>
      <c r="I51" s="38"/>
      <c r="J51" s="38"/>
      <c r="K51" s="38"/>
      <c r="L51" s="38"/>
      <c r="M51" s="38"/>
      <c r="N51" s="5"/>
    </row>
    <row r="52" spans="2:14" ht="36" customHeight="1" x14ac:dyDescent="0.2">
      <c r="B52" s="5" t="s">
        <v>533</v>
      </c>
      <c r="C52" s="5" t="s">
        <v>354</v>
      </c>
      <c r="D52" s="21" t="s">
        <v>153</v>
      </c>
      <c r="E52" s="24">
        <v>46472</v>
      </c>
      <c r="F52" s="5" t="s">
        <v>83</v>
      </c>
      <c r="G52" s="38" t="s">
        <v>534</v>
      </c>
      <c r="H52" s="38"/>
      <c r="I52" s="38"/>
      <c r="J52" s="38"/>
      <c r="K52" s="38"/>
      <c r="L52" s="38"/>
      <c r="M52" s="38"/>
      <c r="N52" s="5"/>
    </row>
    <row r="53" spans="2:14" ht="18" customHeight="1" x14ac:dyDescent="0.2">
      <c r="B53" s="5"/>
      <c r="C53" s="5"/>
      <c r="D53" s="21"/>
      <c r="E53" s="24"/>
      <c r="F53" s="5"/>
      <c r="G53" s="38"/>
      <c r="H53" s="38"/>
      <c r="I53" s="38"/>
      <c r="J53" s="38"/>
      <c r="K53" s="38"/>
      <c r="L53" s="38"/>
      <c r="M53" s="38"/>
      <c r="N53" s="5"/>
    </row>
    <row r="54" spans="2:14" ht="18" customHeight="1" x14ac:dyDescent="0.2">
      <c r="B54" s="5"/>
      <c r="C54" s="5"/>
      <c r="D54" s="21"/>
      <c r="E54" s="24"/>
      <c r="F54" s="5"/>
      <c r="G54" s="38"/>
      <c r="H54" s="38"/>
      <c r="I54" s="38"/>
      <c r="J54" s="38"/>
      <c r="K54" s="38"/>
      <c r="L54" s="38"/>
      <c r="M54" s="38"/>
      <c r="N54" s="5"/>
    </row>
  </sheetData>
  <mergeCells count="52">
    <mergeCell ref="B2:N2"/>
    <mergeCell ref="B3:N3"/>
    <mergeCell ref="B4:N4"/>
    <mergeCell ref="B7:N7"/>
    <mergeCell ref="C8:N8"/>
    <mergeCell ref="C9:N9"/>
    <mergeCell ref="C10:N10"/>
    <mergeCell ref="C11:N11"/>
    <mergeCell ref="C12:N12"/>
    <mergeCell ref="C13:N13"/>
    <mergeCell ref="C14:N14"/>
    <mergeCell ref="C15:N15"/>
    <mergeCell ref="C16:N16"/>
    <mergeCell ref="C17:N17"/>
    <mergeCell ref="C18:N18"/>
    <mergeCell ref="B20:N20"/>
    <mergeCell ref="C21:D21"/>
    <mergeCell ref="F21:N21"/>
    <mergeCell ref="C22:D22"/>
    <mergeCell ref="F22:N22"/>
    <mergeCell ref="C23:D23"/>
    <mergeCell ref="F23:N23"/>
    <mergeCell ref="C24:D24"/>
    <mergeCell ref="F24:N24"/>
    <mergeCell ref="C25:D25"/>
    <mergeCell ref="F25:N25"/>
    <mergeCell ref="C26:D26"/>
    <mergeCell ref="F26:N26"/>
    <mergeCell ref="B28:N28"/>
    <mergeCell ref="C29:D29"/>
    <mergeCell ref="E29:F29"/>
    <mergeCell ref="G29:H29"/>
    <mergeCell ref="I29:K29"/>
    <mergeCell ref="L29:N29"/>
    <mergeCell ref="C30:D30"/>
    <mergeCell ref="E30:F30"/>
    <mergeCell ref="G30:H30"/>
    <mergeCell ref="I30:K30"/>
    <mergeCell ref="L30:N30"/>
    <mergeCell ref="B32:N32"/>
    <mergeCell ref="B41:N41"/>
    <mergeCell ref="K42:M42"/>
    <mergeCell ref="K43:M43"/>
    <mergeCell ref="K44:M44"/>
    <mergeCell ref="G52:M52"/>
    <mergeCell ref="G53:M53"/>
    <mergeCell ref="G54:M54"/>
    <mergeCell ref="K45:M45"/>
    <mergeCell ref="K46:M46"/>
    <mergeCell ref="B49:N49"/>
    <mergeCell ref="G50:M50"/>
    <mergeCell ref="G51:M51"/>
  </mergeCells>
  <conditionalFormatting sqref="E22:E26">
    <cfRule type="expression" dxfId="19" priority="2">
      <formula>$E22="Confirmé"</formula>
    </cfRule>
    <cfRule type="expression" dxfId="18" priority="3">
      <formula>$E22="À confirmer"</formula>
    </cfRule>
    <cfRule type="expression" dxfId="17" priority="4">
      <formula>$E22="Non trouvé"</formula>
    </cfRule>
  </conditionalFormatting>
  <hyperlinks>
    <hyperlink ref="B5" r:id="rId1" location="'Synthèse'!A1" xr:uid="{00000000-0004-0000-0500-000000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showErrorMessage="1" error="Choisir une valeur dans la liste" xr:uid="{00000000-0002-0000-0500-000000000000}">
          <x14:formula1>
            <xm:f>Listes!$C$2:$C$5</xm:f>
          </x14:formula1>
          <x14:formula2>
            <xm:f>0</xm:f>
          </x14:formula2>
          <xm:sqref>C12 F51:F54 J43:J46</xm:sqref>
        </x14:dataValidation>
        <x14:dataValidation type="list" allowBlank="1" showErrorMessage="1" error="Choisir une valeur dans la liste" xr:uid="{00000000-0002-0000-0500-000001000000}">
          <x14:formula1>
            <xm:f>Listes!$G$2:$G$4</xm:f>
          </x14:formula1>
          <x14:formula2>
            <xm:f>0</xm:f>
          </x14:formula2>
          <xm:sqref>C14</xm:sqref>
        </x14:dataValidation>
        <x14:dataValidation type="list" allowBlank="1" showErrorMessage="1" error="Choisir une valeur dans la liste" xr:uid="{00000000-0002-0000-0500-000002000000}">
          <x14:formula1>
            <xm:f>Listes!$D$2:$D$4</xm:f>
          </x14:formula1>
          <x14:formula2>
            <xm:f>0</xm:f>
          </x14:formula2>
          <xm:sqref>D34:D37</xm:sqref>
        </x14:dataValidation>
        <x14:dataValidation type="list" allowBlank="1" showErrorMessage="1" error="Choisir une valeur dans la liste" xr:uid="{00000000-0002-0000-0500-000003000000}">
          <x14:formula1>
            <xm:f>Listes!$A$2:$A$10</xm:f>
          </x14:formula1>
          <x14:formula2>
            <xm:f>0</xm:f>
          </x14:formula2>
          <xm:sqref>D43:D46</xm:sqref>
        </x14:dataValidation>
        <x14:dataValidation type="list" allowBlank="1" showErrorMessage="1" error="Choisir une valeur dans la liste" xr:uid="{00000000-0002-0000-0500-000005000000}">
          <x14:formula1>
            <xm:f>Listes!$E$2:$E$4</xm:f>
          </x14:formula1>
          <x14:formula2>
            <xm:f>0</xm:f>
          </x14:formula2>
          <xm:sqref>D51:D54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8C9B0"/>
    <pageSetUpPr fitToPage="1"/>
  </sheetPr>
  <dimension ref="A1:N64"/>
  <sheetViews>
    <sheetView showGridLines="0" zoomScale="198" zoomScaleNormal="198" workbookViewId="0">
      <pane xSplit="2" ySplit="5" topLeftCell="C16" activePane="bottomRight" state="frozen"/>
      <selection pane="topRight" activeCell="C1" sqref="C1"/>
      <selection pane="bottomLeft" activeCell="A6" sqref="A6"/>
      <selection pane="bottomRight"/>
    </sheetView>
  </sheetViews>
  <sheetFormatPr baseColWidth="10" defaultColWidth="8.6640625" defaultRowHeight="15" x14ac:dyDescent="0.2"/>
  <cols>
    <col min="1" max="1" width="3" customWidth="1"/>
    <col min="2" max="2" width="34" customWidth="1"/>
    <col min="3" max="3" width="20" customWidth="1"/>
    <col min="4" max="4" width="14" customWidth="1"/>
    <col min="5" max="5" width="10" customWidth="1"/>
    <col min="6" max="6" width="13" customWidth="1"/>
    <col min="7" max="7" width="15" customWidth="1"/>
    <col min="8" max="9" width="14" customWidth="1"/>
    <col min="10" max="13" width="15" customWidth="1"/>
    <col min="14" max="14" width="46" customWidth="1"/>
  </cols>
  <sheetData>
    <row r="1" spans="1:14" x14ac:dyDescent="0.2">
      <c r="A1">
        <v>0</v>
      </c>
    </row>
    <row r="2" spans="1:14" ht="34.5" customHeight="1" x14ac:dyDescent="0.2">
      <c r="B2" s="40" t="s">
        <v>535</v>
      </c>
      <c r="C2" s="40"/>
      <c r="D2" s="40"/>
      <c r="E2" s="40"/>
      <c r="F2" s="40"/>
      <c r="G2" s="40"/>
      <c r="H2" s="40"/>
      <c r="I2" s="40"/>
      <c r="J2" s="40"/>
      <c r="K2" s="40"/>
      <c r="L2" s="40"/>
      <c r="M2" s="40"/>
      <c r="N2" s="40"/>
    </row>
    <row r="3" spans="1:14" ht="19.5" customHeight="1" x14ac:dyDescent="0.2">
      <c r="B3" s="41" t="s">
        <v>377</v>
      </c>
      <c r="C3" s="41"/>
      <c r="D3" s="41"/>
      <c r="E3" s="41"/>
      <c r="F3" s="41"/>
      <c r="G3" s="41"/>
      <c r="H3" s="41"/>
      <c r="I3" s="41"/>
      <c r="J3" s="41"/>
      <c r="K3" s="41"/>
      <c r="L3" s="41"/>
      <c r="M3" s="41"/>
      <c r="N3" s="41"/>
    </row>
    <row r="4" spans="1:14" ht="18" customHeight="1" x14ac:dyDescent="0.2">
      <c r="B4" s="41" t="s">
        <v>378</v>
      </c>
      <c r="C4" s="41"/>
      <c r="D4" s="41"/>
      <c r="E4" s="41"/>
      <c r="F4" s="41"/>
      <c r="G4" s="41"/>
      <c r="H4" s="41"/>
      <c r="I4" s="41"/>
      <c r="J4" s="41"/>
      <c r="K4" s="41"/>
      <c r="L4" s="41"/>
      <c r="M4" s="41"/>
      <c r="N4" s="41"/>
    </row>
    <row r="5" spans="1:14" x14ac:dyDescent="0.2">
      <c r="B5" s="20" t="s">
        <v>102</v>
      </c>
    </row>
    <row r="7" spans="1:14" ht="25.5" customHeight="1" x14ac:dyDescent="0.2">
      <c r="B7" s="39" t="s">
        <v>379</v>
      </c>
      <c r="C7" s="39"/>
      <c r="D7" s="39"/>
      <c r="E7" s="39"/>
      <c r="F7" s="39"/>
      <c r="G7" s="39"/>
      <c r="H7" s="39"/>
      <c r="I7" s="39"/>
      <c r="J7" s="39"/>
      <c r="K7" s="39"/>
      <c r="L7" s="39"/>
      <c r="M7" s="39"/>
      <c r="N7" s="39"/>
    </row>
    <row r="8" spans="1:14" ht="18" customHeight="1" x14ac:dyDescent="0.2">
      <c r="B8" s="6" t="s">
        <v>380</v>
      </c>
      <c r="C8" s="38" t="s">
        <v>536</v>
      </c>
      <c r="D8" s="38"/>
      <c r="E8" s="38"/>
      <c r="F8" s="38"/>
      <c r="G8" s="38"/>
      <c r="H8" s="38"/>
      <c r="I8" s="38"/>
      <c r="J8" s="38"/>
      <c r="K8" s="38"/>
      <c r="L8" s="38"/>
      <c r="M8" s="38"/>
      <c r="N8" s="38"/>
    </row>
    <row r="9" spans="1:14" ht="30" customHeight="1" x14ac:dyDescent="0.2">
      <c r="B9" s="6" t="s">
        <v>382</v>
      </c>
      <c r="C9" s="38" t="s">
        <v>537</v>
      </c>
      <c r="D9" s="38"/>
      <c r="E9" s="38"/>
      <c r="F9" s="38"/>
      <c r="G9" s="38"/>
      <c r="H9" s="38"/>
      <c r="I9" s="38"/>
      <c r="J9" s="38"/>
      <c r="K9" s="38"/>
      <c r="L9" s="38"/>
      <c r="M9" s="38"/>
      <c r="N9" s="38"/>
    </row>
    <row r="10" spans="1:14" ht="30" customHeight="1" x14ac:dyDescent="0.2">
      <c r="B10" s="6" t="s">
        <v>384</v>
      </c>
      <c r="C10" s="38" t="s">
        <v>538</v>
      </c>
      <c r="D10" s="38"/>
      <c r="E10" s="38"/>
      <c r="F10" s="38"/>
      <c r="G10" s="38"/>
      <c r="H10" s="38"/>
      <c r="I10" s="38"/>
      <c r="J10" s="38"/>
      <c r="K10" s="38"/>
      <c r="L10" s="38"/>
      <c r="M10" s="38"/>
      <c r="N10" s="38"/>
    </row>
    <row r="11" spans="1:14" ht="18" customHeight="1" x14ac:dyDescent="0.2">
      <c r="B11" s="6" t="s">
        <v>385</v>
      </c>
      <c r="C11" s="38" t="s">
        <v>539</v>
      </c>
      <c r="D11" s="38"/>
      <c r="E11" s="38"/>
      <c r="F11" s="38"/>
      <c r="G11" s="38"/>
      <c r="H11" s="38"/>
      <c r="I11" s="38"/>
      <c r="J11" s="38"/>
      <c r="K11" s="38"/>
      <c r="L11" s="38"/>
      <c r="M11" s="38"/>
      <c r="N11" s="38"/>
    </row>
    <row r="12" spans="1:14" ht="18" customHeight="1" x14ac:dyDescent="0.2">
      <c r="B12" s="6" t="s">
        <v>455</v>
      </c>
      <c r="C12" s="48"/>
      <c r="D12" s="48"/>
      <c r="E12" s="48"/>
      <c r="F12" s="48"/>
      <c r="G12" s="48"/>
      <c r="H12" s="48"/>
      <c r="I12" s="48"/>
      <c r="J12" s="48"/>
      <c r="K12" s="48"/>
      <c r="L12" s="48"/>
      <c r="M12" s="48"/>
      <c r="N12" s="48"/>
    </row>
    <row r="13" spans="1:14" ht="18" customHeight="1" x14ac:dyDescent="0.2">
      <c r="B13" s="6" t="s">
        <v>386</v>
      </c>
      <c r="C13" s="38" t="s">
        <v>83</v>
      </c>
      <c r="D13" s="38"/>
      <c r="E13" s="38"/>
      <c r="F13" s="38"/>
      <c r="G13" s="38"/>
      <c r="H13" s="38"/>
      <c r="I13" s="38"/>
      <c r="J13" s="38"/>
      <c r="K13" s="38"/>
      <c r="L13" s="38"/>
      <c r="M13" s="38"/>
      <c r="N13" s="38"/>
    </row>
    <row r="14" spans="1:14" ht="18" customHeight="1" x14ac:dyDescent="0.2">
      <c r="B14" s="6" t="s">
        <v>387</v>
      </c>
      <c r="C14" s="48"/>
      <c r="D14" s="48"/>
      <c r="E14" s="48"/>
      <c r="F14" s="48"/>
      <c r="G14" s="48"/>
      <c r="H14" s="48"/>
      <c r="I14" s="48"/>
      <c r="J14" s="48"/>
      <c r="K14" s="48"/>
      <c r="L14" s="48"/>
      <c r="M14" s="48"/>
      <c r="N14" s="48"/>
    </row>
    <row r="15" spans="1:14" ht="18" customHeight="1" x14ac:dyDescent="0.2">
      <c r="B15" s="6" t="s">
        <v>388</v>
      </c>
      <c r="C15" s="48"/>
      <c r="D15" s="48"/>
      <c r="E15" s="48"/>
      <c r="F15" s="48"/>
      <c r="G15" s="48"/>
      <c r="H15" s="48"/>
      <c r="I15" s="48"/>
      <c r="J15" s="48"/>
      <c r="K15" s="48"/>
      <c r="L15" s="48"/>
      <c r="M15" s="48"/>
      <c r="N15" s="48"/>
    </row>
    <row r="16" spans="1:14" ht="18" customHeight="1" x14ac:dyDescent="0.2">
      <c r="B16" s="6" t="s">
        <v>389</v>
      </c>
      <c r="C16" s="48"/>
      <c r="D16" s="48"/>
      <c r="E16" s="48"/>
      <c r="F16" s="48"/>
      <c r="G16" s="48"/>
      <c r="H16" s="48"/>
      <c r="I16" s="48"/>
      <c r="J16" s="48"/>
      <c r="K16" s="48"/>
      <c r="L16" s="48"/>
      <c r="M16" s="48"/>
      <c r="N16" s="48"/>
    </row>
    <row r="17" spans="2:14" ht="18" customHeight="1" x14ac:dyDescent="0.2">
      <c r="B17" s="6" t="s">
        <v>390</v>
      </c>
      <c r="C17" s="49"/>
      <c r="D17" s="49"/>
      <c r="E17" s="49"/>
      <c r="F17" s="49"/>
      <c r="G17" s="49"/>
      <c r="H17" s="49"/>
      <c r="I17" s="49"/>
      <c r="J17" s="49"/>
      <c r="K17" s="49"/>
      <c r="L17" s="49"/>
      <c r="M17" s="49"/>
      <c r="N17" s="49"/>
    </row>
    <row r="18" spans="2:14" ht="18" customHeight="1" x14ac:dyDescent="0.2">
      <c r="B18" s="6" t="s">
        <v>391</v>
      </c>
      <c r="C18" s="49"/>
      <c r="D18" s="49"/>
      <c r="E18" s="49"/>
      <c r="F18" s="49"/>
      <c r="G18" s="49"/>
      <c r="H18" s="49"/>
      <c r="I18" s="49"/>
      <c r="J18" s="49"/>
      <c r="K18" s="49"/>
      <c r="L18" s="49"/>
      <c r="M18" s="49"/>
      <c r="N18" s="49"/>
    </row>
    <row r="19" spans="2:14" ht="30" customHeight="1" x14ac:dyDescent="0.2">
      <c r="B19" s="6" t="s">
        <v>392</v>
      </c>
      <c r="C19" s="38" t="s">
        <v>540</v>
      </c>
      <c r="D19" s="38"/>
      <c r="E19" s="38"/>
      <c r="F19" s="38"/>
      <c r="G19" s="38"/>
      <c r="H19" s="38"/>
      <c r="I19" s="38"/>
      <c r="J19" s="38"/>
      <c r="K19" s="38"/>
      <c r="L19" s="38"/>
      <c r="M19" s="38"/>
      <c r="N19" s="38"/>
    </row>
    <row r="21" spans="2:14" ht="25.5" customHeight="1" x14ac:dyDescent="0.2">
      <c r="B21" s="39" t="s">
        <v>541</v>
      </c>
      <c r="C21" s="39"/>
      <c r="D21" s="39"/>
      <c r="E21" s="39"/>
      <c r="F21" s="39"/>
      <c r="G21" s="39"/>
      <c r="H21" s="39"/>
      <c r="I21" s="39"/>
      <c r="J21" s="39"/>
      <c r="K21" s="39"/>
      <c r="L21" s="39"/>
      <c r="M21" s="39"/>
      <c r="N21" s="39"/>
    </row>
    <row r="22" spans="2:14" ht="30" customHeight="1" x14ac:dyDescent="0.2">
      <c r="B22" s="2" t="s">
        <v>395</v>
      </c>
      <c r="C22" s="46" t="s">
        <v>396</v>
      </c>
      <c r="D22" s="46"/>
      <c r="E22" s="2" t="s">
        <v>397</v>
      </c>
      <c r="F22" s="46" t="s">
        <v>398</v>
      </c>
      <c r="G22" s="46"/>
      <c r="H22" s="46"/>
      <c r="I22" s="46"/>
      <c r="J22" s="46"/>
      <c r="K22" s="46"/>
      <c r="L22" s="46"/>
      <c r="M22" s="46"/>
      <c r="N22" s="46"/>
    </row>
    <row r="23" spans="2:14" ht="21.75" customHeight="1" x14ac:dyDescent="0.2">
      <c r="B23" s="6" t="s">
        <v>399</v>
      </c>
      <c r="C23" s="47" t="s">
        <v>542</v>
      </c>
      <c r="D23" s="47"/>
      <c r="E23" s="21" t="s">
        <v>86</v>
      </c>
      <c r="F23" s="38" t="s">
        <v>543</v>
      </c>
      <c r="G23" s="38"/>
      <c r="H23" s="38"/>
      <c r="I23" s="38"/>
      <c r="J23" s="38"/>
      <c r="K23" s="38"/>
      <c r="L23" s="38"/>
      <c r="M23" s="38"/>
      <c r="N23" s="38"/>
    </row>
    <row r="24" spans="2:14" ht="21.75" customHeight="1" x14ac:dyDescent="0.2">
      <c r="B24" s="6" t="s">
        <v>403</v>
      </c>
      <c r="C24" s="47" t="s">
        <v>544</v>
      </c>
      <c r="D24" s="47"/>
      <c r="E24" s="21" t="s">
        <v>401</v>
      </c>
      <c r="F24" s="38" t="s">
        <v>545</v>
      </c>
      <c r="G24" s="38"/>
      <c r="H24" s="38"/>
      <c r="I24" s="38"/>
      <c r="J24" s="38"/>
      <c r="K24" s="38"/>
      <c r="L24" s="38"/>
      <c r="M24" s="38"/>
      <c r="N24" s="38"/>
    </row>
    <row r="25" spans="2:14" ht="21.75" customHeight="1" x14ac:dyDescent="0.2">
      <c r="B25" s="6" t="s">
        <v>546</v>
      </c>
      <c r="C25" s="47" t="s">
        <v>547</v>
      </c>
      <c r="D25" s="47"/>
      <c r="E25" s="21" t="s">
        <v>86</v>
      </c>
      <c r="F25" s="38" t="s">
        <v>548</v>
      </c>
      <c r="G25" s="38"/>
      <c r="H25" s="38"/>
      <c r="I25" s="38"/>
      <c r="J25" s="38"/>
      <c r="K25" s="38"/>
      <c r="L25" s="38"/>
      <c r="M25" s="38"/>
      <c r="N25" s="38"/>
    </row>
    <row r="26" spans="2:14" ht="21.75" customHeight="1" x14ac:dyDescent="0.2">
      <c r="B26" s="6" t="s">
        <v>549</v>
      </c>
      <c r="C26" s="47" t="s">
        <v>550</v>
      </c>
      <c r="D26" s="47"/>
      <c r="E26" s="21" t="s">
        <v>86</v>
      </c>
      <c r="F26" s="38"/>
      <c r="G26" s="38"/>
      <c r="H26" s="38"/>
      <c r="I26" s="38"/>
      <c r="J26" s="38"/>
      <c r="K26" s="38"/>
      <c r="L26" s="38"/>
      <c r="M26" s="38"/>
      <c r="N26" s="38"/>
    </row>
    <row r="27" spans="2:14" ht="21.75" customHeight="1" x14ac:dyDescent="0.2">
      <c r="B27" s="6" t="s">
        <v>551</v>
      </c>
      <c r="C27" s="47" t="s">
        <v>552</v>
      </c>
      <c r="D27" s="47"/>
      <c r="E27" s="21" t="s">
        <v>86</v>
      </c>
      <c r="F27" s="38" t="s">
        <v>553</v>
      </c>
      <c r="G27" s="38"/>
      <c r="H27" s="38"/>
      <c r="I27" s="38"/>
      <c r="J27" s="38"/>
      <c r="K27" s="38"/>
      <c r="L27" s="38"/>
      <c r="M27" s="38"/>
      <c r="N27" s="38"/>
    </row>
    <row r="28" spans="2:14" ht="21.75" customHeight="1" x14ac:dyDescent="0.2">
      <c r="B28" s="6" t="s">
        <v>554</v>
      </c>
      <c r="C28" s="47" t="s">
        <v>555</v>
      </c>
      <c r="D28" s="47"/>
      <c r="E28" s="21" t="s">
        <v>86</v>
      </c>
      <c r="F28" s="38" t="s">
        <v>556</v>
      </c>
      <c r="G28" s="38"/>
      <c r="H28" s="38"/>
      <c r="I28" s="38"/>
      <c r="J28" s="38"/>
      <c r="K28" s="38"/>
      <c r="L28" s="38"/>
      <c r="M28" s="38"/>
      <c r="N28" s="38"/>
    </row>
    <row r="29" spans="2:14" ht="21.75" customHeight="1" x14ac:dyDescent="0.2">
      <c r="B29" s="6" t="s">
        <v>406</v>
      </c>
      <c r="C29" s="48" t="s">
        <v>154</v>
      </c>
      <c r="D29" s="48"/>
      <c r="E29" s="21" t="s">
        <v>407</v>
      </c>
      <c r="F29" s="38" t="s">
        <v>557</v>
      </c>
      <c r="G29" s="38"/>
      <c r="H29" s="38"/>
      <c r="I29" s="38"/>
      <c r="J29" s="38"/>
      <c r="K29" s="38"/>
      <c r="L29" s="38"/>
      <c r="M29" s="38"/>
      <c r="N29" s="38"/>
    </row>
    <row r="31" spans="2:14" ht="25.5" customHeight="1" x14ac:dyDescent="0.2">
      <c r="B31" s="39" t="s">
        <v>558</v>
      </c>
      <c r="C31" s="39"/>
      <c r="D31" s="39"/>
      <c r="E31" s="39"/>
      <c r="F31" s="39"/>
      <c r="G31" s="39"/>
      <c r="H31" s="39"/>
      <c r="I31" s="39"/>
      <c r="J31" s="39"/>
      <c r="K31" s="39"/>
      <c r="L31" s="39"/>
      <c r="M31" s="39"/>
      <c r="N31" s="39"/>
    </row>
    <row r="32" spans="2:14" ht="30" customHeight="1" x14ac:dyDescent="0.2">
      <c r="B32" s="2" t="s">
        <v>396</v>
      </c>
      <c r="C32" s="46" t="s">
        <v>395</v>
      </c>
      <c r="D32" s="46"/>
      <c r="E32" s="46" t="s">
        <v>410</v>
      </c>
      <c r="F32" s="46"/>
      <c r="G32" s="46" t="s">
        <v>411</v>
      </c>
      <c r="H32" s="46"/>
      <c r="I32" s="46" t="s">
        <v>412</v>
      </c>
      <c r="J32" s="46"/>
      <c r="K32" s="46"/>
      <c r="L32" s="46" t="s">
        <v>353</v>
      </c>
      <c r="M32" s="46"/>
      <c r="N32" s="46"/>
    </row>
    <row r="33" spans="2:14" ht="25.5" customHeight="1" x14ac:dyDescent="0.2">
      <c r="B33" s="1" t="s">
        <v>559</v>
      </c>
      <c r="C33" s="38" t="s">
        <v>560</v>
      </c>
      <c r="D33" s="38"/>
      <c r="E33" s="38" t="s">
        <v>469</v>
      </c>
      <c r="F33" s="38"/>
      <c r="G33" s="38" t="s">
        <v>561</v>
      </c>
      <c r="H33" s="38"/>
      <c r="I33" s="38" t="s">
        <v>562</v>
      </c>
      <c r="J33" s="38"/>
      <c r="K33" s="38"/>
      <c r="L33" s="38"/>
      <c r="M33" s="38"/>
      <c r="N33" s="38"/>
    </row>
    <row r="34" spans="2:14" ht="25.5" customHeight="1" x14ac:dyDescent="0.2">
      <c r="B34" s="1" t="s">
        <v>563</v>
      </c>
      <c r="C34" s="38" t="s">
        <v>564</v>
      </c>
      <c r="D34" s="38"/>
      <c r="E34" s="38" t="s">
        <v>565</v>
      </c>
      <c r="F34" s="38"/>
      <c r="G34" s="38" t="s">
        <v>566</v>
      </c>
      <c r="H34" s="38"/>
      <c r="I34" s="38" t="s">
        <v>567</v>
      </c>
      <c r="J34" s="38"/>
      <c r="K34" s="38"/>
      <c r="L34" s="38"/>
      <c r="M34" s="38"/>
      <c r="N34" s="38"/>
    </row>
    <row r="35" spans="2:14" ht="25.5" customHeight="1" x14ac:dyDescent="0.2">
      <c r="B35" s="1" t="s">
        <v>568</v>
      </c>
      <c r="C35" s="38"/>
      <c r="D35" s="38"/>
      <c r="E35" s="38" t="s">
        <v>501</v>
      </c>
      <c r="F35" s="38"/>
      <c r="G35" s="38" t="s">
        <v>569</v>
      </c>
      <c r="H35" s="38"/>
      <c r="I35" s="38" t="s">
        <v>570</v>
      </c>
      <c r="J35" s="38"/>
      <c r="K35" s="38"/>
      <c r="L35" s="38"/>
      <c r="M35" s="38"/>
      <c r="N35" s="38"/>
    </row>
    <row r="36" spans="2:14" ht="25.5" customHeight="1" x14ac:dyDescent="0.2">
      <c r="B36" s="1" t="s">
        <v>571</v>
      </c>
      <c r="C36" s="38"/>
      <c r="D36" s="38"/>
      <c r="E36" s="38" t="s">
        <v>501</v>
      </c>
      <c r="F36" s="38"/>
      <c r="G36" s="38" t="s">
        <v>572</v>
      </c>
      <c r="H36" s="38"/>
      <c r="I36" s="38" t="s">
        <v>573</v>
      </c>
      <c r="J36" s="38"/>
      <c r="K36" s="38"/>
      <c r="L36" s="38"/>
      <c r="M36" s="38"/>
      <c r="N36" s="38"/>
    </row>
    <row r="37" spans="2:14" ht="25.5" customHeight="1" x14ac:dyDescent="0.2">
      <c r="B37" s="1" t="s">
        <v>574</v>
      </c>
      <c r="C37" s="38"/>
      <c r="D37" s="38"/>
      <c r="E37" s="38" t="s">
        <v>501</v>
      </c>
      <c r="F37" s="38"/>
      <c r="G37" s="38" t="s">
        <v>575</v>
      </c>
      <c r="H37" s="38"/>
      <c r="I37" s="38" t="s">
        <v>576</v>
      </c>
      <c r="J37" s="38"/>
      <c r="K37" s="38"/>
      <c r="L37" s="38"/>
      <c r="M37" s="38"/>
      <c r="N37" s="38"/>
    </row>
    <row r="38" spans="2:14" ht="25.5" customHeight="1" x14ac:dyDescent="0.2">
      <c r="B38" s="1" t="s">
        <v>577</v>
      </c>
      <c r="C38" s="38"/>
      <c r="D38" s="38"/>
      <c r="E38" s="38" t="s">
        <v>501</v>
      </c>
      <c r="F38" s="38"/>
      <c r="G38" s="38" t="s">
        <v>578</v>
      </c>
      <c r="H38" s="38"/>
      <c r="I38" s="38" t="s">
        <v>579</v>
      </c>
      <c r="J38" s="38"/>
      <c r="K38" s="38"/>
      <c r="L38" s="38"/>
      <c r="M38" s="38"/>
      <c r="N38" s="38"/>
    </row>
    <row r="39" spans="2:14" ht="25.5" customHeight="1" x14ac:dyDescent="0.2">
      <c r="B39" s="1" t="s">
        <v>580</v>
      </c>
      <c r="C39" s="38"/>
      <c r="D39" s="38"/>
      <c r="E39" s="38" t="s">
        <v>501</v>
      </c>
      <c r="F39" s="38"/>
      <c r="G39" s="38" t="s">
        <v>581</v>
      </c>
      <c r="H39" s="38"/>
      <c r="I39" s="38" t="s">
        <v>582</v>
      </c>
      <c r="J39" s="38"/>
      <c r="K39" s="38"/>
      <c r="L39" s="38"/>
      <c r="M39" s="38"/>
      <c r="N39" s="38"/>
    </row>
    <row r="41" spans="2:14" ht="25.5" customHeight="1" x14ac:dyDescent="0.2">
      <c r="B41" s="39" t="s">
        <v>414</v>
      </c>
      <c r="C41" s="39"/>
      <c r="D41" s="39"/>
      <c r="E41" s="39"/>
      <c r="F41" s="39"/>
      <c r="G41" s="39"/>
      <c r="H41" s="39"/>
      <c r="I41" s="39"/>
      <c r="J41" s="39"/>
      <c r="K41" s="39"/>
      <c r="L41" s="39"/>
      <c r="M41" s="39"/>
      <c r="N41" s="39"/>
    </row>
    <row r="42" spans="2:14" ht="30" customHeight="1" x14ac:dyDescent="0.2">
      <c r="B42" s="2" t="s">
        <v>415</v>
      </c>
      <c r="C42" s="2" t="s">
        <v>416</v>
      </c>
      <c r="D42" s="2" t="s">
        <v>109</v>
      </c>
      <c r="E42" s="2" t="s">
        <v>417</v>
      </c>
      <c r="F42" s="2" t="s">
        <v>418</v>
      </c>
      <c r="G42" s="2" t="s">
        <v>419</v>
      </c>
      <c r="H42" s="2" t="s">
        <v>420</v>
      </c>
      <c r="I42" s="2" t="s">
        <v>37</v>
      </c>
      <c r="J42" s="2" t="s">
        <v>421</v>
      </c>
      <c r="K42" s="2" t="s">
        <v>422</v>
      </c>
      <c r="L42" s="2" t="s">
        <v>423</v>
      </c>
      <c r="M42" s="2" t="s">
        <v>55</v>
      </c>
      <c r="N42" s="2" t="s">
        <v>116</v>
      </c>
    </row>
    <row r="43" spans="2:14" ht="42" customHeight="1" x14ac:dyDescent="0.2">
      <c r="B43" s="5" t="s">
        <v>354</v>
      </c>
      <c r="C43" s="5" t="s">
        <v>151</v>
      </c>
      <c r="D43" s="21" t="s">
        <v>152</v>
      </c>
      <c r="E43" s="29">
        <v>2024</v>
      </c>
      <c r="F43" s="24">
        <v>45560</v>
      </c>
      <c r="G43" s="12">
        <v>1003000</v>
      </c>
      <c r="H43" s="12"/>
      <c r="I43" s="12"/>
      <c r="J43" s="12">
        <f>IF(G43="","",G43-N(I43))</f>
        <v>1003000</v>
      </c>
      <c r="K43" s="12">
        <f>IF(G43="","",J43-N(H43))</f>
        <v>1003000</v>
      </c>
      <c r="L43" s="12">
        <v>1003000</v>
      </c>
      <c r="M43" s="12">
        <f>IF(G43="","",G43-N(L43))</f>
        <v>0</v>
      </c>
      <c r="N43" s="5" t="s">
        <v>583</v>
      </c>
    </row>
    <row r="44" spans="2:14" ht="42" customHeight="1" x14ac:dyDescent="0.2">
      <c r="B44" s="5" t="s">
        <v>354</v>
      </c>
      <c r="C44" s="5" t="s">
        <v>151</v>
      </c>
      <c r="D44" s="21" t="s">
        <v>152</v>
      </c>
      <c r="E44" s="29">
        <v>2025</v>
      </c>
      <c r="F44" s="24">
        <v>45905</v>
      </c>
      <c r="G44" s="12">
        <v>982940</v>
      </c>
      <c r="H44" s="12"/>
      <c r="I44" s="12"/>
      <c r="J44" s="12">
        <f>IF(G44="","",G44-N(I44))</f>
        <v>982940</v>
      </c>
      <c r="K44" s="12">
        <f>IF(G44="","",J44-N(H44))</f>
        <v>982940</v>
      </c>
      <c r="L44" s="12">
        <v>982940</v>
      </c>
      <c r="M44" s="12">
        <f>IF(G44="","",G44-N(L44))</f>
        <v>0</v>
      </c>
      <c r="N44" s="5" t="s">
        <v>584</v>
      </c>
    </row>
    <row r="45" spans="2:14" ht="42" customHeight="1" x14ac:dyDescent="0.2">
      <c r="B45" s="5" t="s">
        <v>429</v>
      </c>
      <c r="C45" s="5" t="s">
        <v>151</v>
      </c>
      <c r="D45" s="21" t="s">
        <v>152</v>
      </c>
      <c r="E45" s="29">
        <v>2026</v>
      </c>
      <c r="F45" s="24">
        <v>46283</v>
      </c>
      <c r="G45" s="12">
        <v>1610068</v>
      </c>
      <c r="H45" s="12"/>
      <c r="I45" s="12"/>
      <c r="J45" s="12">
        <f>IF(G45="","",G45-N(I45))</f>
        <v>1610068</v>
      </c>
      <c r="K45" s="12">
        <f>IF(G45="","",J45-N(H45))</f>
        <v>1610068</v>
      </c>
      <c r="L45" s="12">
        <v>1610068</v>
      </c>
      <c r="M45" s="12">
        <f>IF(G45="","",G45-N(L45))</f>
        <v>0</v>
      </c>
      <c r="N45" s="5" t="s">
        <v>585</v>
      </c>
    </row>
    <row r="46" spans="2:14" ht="18" customHeight="1" x14ac:dyDescent="0.2">
      <c r="B46" s="5"/>
      <c r="C46" s="5"/>
      <c r="D46" s="21"/>
      <c r="E46" s="29"/>
      <c r="F46" s="24"/>
      <c r="G46" s="12"/>
      <c r="H46" s="12"/>
      <c r="I46" s="12"/>
      <c r="J46" s="12" t="str">
        <f>IF(G46="","",G46-N(I46))</f>
        <v/>
      </c>
      <c r="K46" s="12" t="str">
        <f>IF(G46="","",J46-N(H46))</f>
        <v/>
      </c>
      <c r="L46" s="12"/>
      <c r="M46" s="12" t="str">
        <f>IF(G46="","",G46-N(L46))</f>
        <v/>
      </c>
      <c r="N46" s="5"/>
    </row>
    <row r="47" spans="2:14" ht="18" customHeight="1" x14ac:dyDescent="0.2">
      <c r="B47" s="5"/>
      <c r="C47" s="5"/>
      <c r="D47" s="21"/>
      <c r="E47" s="29"/>
      <c r="F47" s="24"/>
      <c r="G47" s="12"/>
      <c r="H47" s="12"/>
      <c r="I47" s="12"/>
      <c r="J47" s="12" t="str">
        <f>IF(G47="","",G47-N(I47))</f>
        <v/>
      </c>
      <c r="K47" s="12" t="str">
        <f>IF(G47="","",J47-N(H47))</f>
        <v/>
      </c>
      <c r="L47" s="12"/>
      <c r="M47" s="12" t="str">
        <f>IF(G47="","",G47-N(L47))</f>
        <v/>
      </c>
      <c r="N47" s="5"/>
    </row>
    <row r="48" spans="2:14" ht="19.5" customHeight="1" x14ac:dyDescent="0.2">
      <c r="B48" s="4" t="s">
        <v>432</v>
      </c>
      <c r="C48" s="17"/>
      <c r="D48" s="17"/>
      <c r="E48" s="17"/>
      <c r="F48" s="17"/>
      <c r="G48" s="15">
        <f t="shared" ref="G48:M48" si="0">SUM(G43:G47)</f>
        <v>3596008</v>
      </c>
      <c r="H48" s="15">
        <f t="shared" si="0"/>
        <v>0</v>
      </c>
      <c r="I48" s="15">
        <f t="shared" si="0"/>
        <v>0</v>
      </c>
      <c r="J48" s="15">
        <f t="shared" si="0"/>
        <v>3596008</v>
      </c>
      <c r="K48" s="15">
        <f t="shared" si="0"/>
        <v>3596008</v>
      </c>
      <c r="L48" s="15">
        <f t="shared" si="0"/>
        <v>3596008</v>
      </c>
      <c r="M48" s="15">
        <f t="shared" si="0"/>
        <v>0</v>
      </c>
      <c r="N48" s="17"/>
    </row>
    <row r="49" spans="2:14" ht="19.5" customHeight="1" x14ac:dyDescent="0.2">
      <c r="B49" s="4" t="s">
        <v>433</v>
      </c>
      <c r="C49" s="17"/>
      <c r="D49" s="17"/>
      <c r="E49" s="17"/>
      <c r="F49" s="17"/>
      <c r="G49" s="15">
        <f>SUMIFS(G43:G47,$E$43:$E$47,2026)</f>
        <v>1610068</v>
      </c>
      <c r="H49" s="17"/>
      <c r="I49" s="15">
        <f>SUMIFS(I43:I47,$E$43:$E$47,2026)</f>
        <v>0</v>
      </c>
      <c r="J49" s="17"/>
      <c r="K49" s="15">
        <f>SUMIFS(K43:K47,$E$43:$E$47,2026)</f>
        <v>1610068</v>
      </c>
      <c r="L49" s="15">
        <f>SUMIFS(L43:L47,$E$43:$E$47,2026)</f>
        <v>1610068</v>
      </c>
      <c r="M49" s="15">
        <f>SUMIFS(M43:M47,$E$43:$E$47,2026)</f>
        <v>0</v>
      </c>
      <c r="N49" s="17"/>
    </row>
    <row r="51" spans="2:14" ht="25.5" customHeight="1" x14ac:dyDescent="0.2">
      <c r="B51" s="39" t="s">
        <v>434</v>
      </c>
      <c r="C51" s="39"/>
      <c r="D51" s="39"/>
      <c r="E51" s="39"/>
      <c r="F51" s="39"/>
      <c r="G51" s="39"/>
      <c r="H51" s="39"/>
      <c r="I51" s="39"/>
      <c r="J51" s="39"/>
      <c r="K51" s="39"/>
      <c r="L51" s="39"/>
      <c r="M51" s="39"/>
      <c r="N51" s="39"/>
    </row>
    <row r="52" spans="2:14" ht="30" customHeight="1" x14ac:dyDescent="0.2">
      <c r="B52" s="2" t="s">
        <v>435</v>
      </c>
      <c r="C52" s="2" t="s">
        <v>416</v>
      </c>
      <c r="D52" s="2" t="s">
        <v>70</v>
      </c>
      <c r="E52" s="2" t="s">
        <v>436</v>
      </c>
      <c r="F52" s="2" t="s">
        <v>437</v>
      </c>
      <c r="G52" s="2" t="s">
        <v>35</v>
      </c>
      <c r="H52" s="2" t="s">
        <v>110</v>
      </c>
      <c r="I52" s="2" t="s">
        <v>36</v>
      </c>
      <c r="J52" s="2" t="s">
        <v>438</v>
      </c>
      <c r="K52" s="46" t="s">
        <v>114</v>
      </c>
      <c r="L52" s="46"/>
      <c r="M52" s="46"/>
      <c r="N52" s="2" t="s">
        <v>116</v>
      </c>
    </row>
    <row r="53" spans="2:14" ht="18" customHeight="1" x14ac:dyDescent="0.2">
      <c r="B53" s="5"/>
      <c r="C53" s="5"/>
      <c r="D53" s="21"/>
      <c r="E53" s="24"/>
      <c r="F53" s="24"/>
      <c r="G53" s="12"/>
      <c r="H53" s="22"/>
      <c r="I53" s="12" t="str">
        <f>IF(OR(G53="",H53=""),"",G53*H53)</f>
        <v/>
      </c>
      <c r="J53" s="5"/>
      <c r="K53" s="38"/>
      <c r="L53" s="38"/>
      <c r="M53" s="38"/>
      <c r="N53" s="5"/>
    </row>
    <row r="54" spans="2:14" ht="18" customHeight="1" x14ac:dyDescent="0.2">
      <c r="B54" s="5"/>
      <c r="C54" s="5"/>
      <c r="D54" s="21"/>
      <c r="E54" s="24"/>
      <c r="F54" s="24"/>
      <c r="G54" s="12"/>
      <c r="H54" s="22"/>
      <c r="I54" s="12" t="str">
        <f>IF(OR(G54="",H54=""),"",G54*H54)</f>
        <v/>
      </c>
      <c r="J54" s="5"/>
      <c r="K54" s="38"/>
      <c r="L54" s="38"/>
      <c r="M54" s="38"/>
      <c r="N54" s="5"/>
    </row>
    <row r="55" spans="2:14" ht="18" customHeight="1" x14ac:dyDescent="0.2">
      <c r="B55" s="5"/>
      <c r="C55" s="5"/>
      <c r="D55" s="21"/>
      <c r="E55" s="24"/>
      <c r="F55" s="24"/>
      <c r="G55" s="12"/>
      <c r="H55" s="22"/>
      <c r="I55" s="12" t="str">
        <f>IF(OR(G55="",H55=""),"",G55*H55)</f>
        <v/>
      </c>
      <c r="J55" s="5"/>
      <c r="K55" s="38"/>
      <c r="L55" s="38"/>
      <c r="M55" s="38"/>
      <c r="N55" s="5"/>
    </row>
    <row r="56" spans="2:14" ht="18" customHeight="1" x14ac:dyDescent="0.2">
      <c r="B56" s="5"/>
      <c r="C56" s="5"/>
      <c r="D56" s="21"/>
      <c r="E56" s="24"/>
      <c r="F56" s="24"/>
      <c r="G56" s="12"/>
      <c r="H56" s="22"/>
      <c r="I56" s="12" t="str">
        <f>IF(OR(G56="",H56=""),"",G56*H56)</f>
        <v/>
      </c>
      <c r="J56" s="5"/>
      <c r="K56" s="38"/>
      <c r="L56" s="38"/>
      <c r="M56" s="38"/>
      <c r="N56" s="5"/>
    </row>
    <row r="57" spans="2:14" ht="19.5" customHeight="1" x14ac:dyDescent="0.2">
      <c r="B57" s="4" t="s">
        <v>441</v>
      </c>
      <c r="C57" s="17"/>
      <c r="D57" s="17"/>
      <c r="E57" s="17"/>
      <c r="F57" s="17"/>
      <c r="G57" s="15">
        <f>SUM(G53:G56)</f>
        <v>0</v>
      </c>
      <c r="H57" s="17"/>
      <c r="I57" s="15">
        <f>SUM(I53:I56)</f>
        <v>0</v>
      </c>
      <c r="J57" s="17"/>
      <c r="K57" s="17"/>
      <c r="L57" s="17"/>
      <c r="M57" s="17"/>
      <c r="N57" s="17"/>
    </row>
    <row r="59" spans="2:14" ht="25.5" customHeight="1" x14ac:dyDescent="0.2">
      <c r="B59" s="39" t="s">
        <v>442</v>
      </c>
      <c r="C59" s="39"/>
      <c r="D59" s="39"/>
      <c r="E59" s="39"/>
      <c r="F59" s="39"/>
      <c r="G59" s="39"/>
      <c r="H59" s="39"/>
      <c r="I59" s="39"/>
      <c r="J59" s="39"/>
      <c r="K59" s="39"/>
      <c r="L59" s="39"/>
      <c r="M59" s="39"/>
      <c r="N59" s="39"/>
    </row>
    <row r="60" spans="2:14" ht="30" customHeight="1" x14ac:dyDescent="0.2">
      <c r="B60" s="2" t="s">
        <v>443</v>
      </c>
      <c r="C60" s="2" t="s">
        <v>107</v>
      </c>
      <c r="D60" s="2" t="s">
        <v>113</v>
      </c>
      <c r="E60" s="2" t="s">
        <v>115</v>
      </c>
      <c r="F60" s="2" t="s">
        <v>438</v>
      </c>
      <c r="G60" s="46" t="s">
        <v>444</v>
      </c>
      <c r="H60" s="46"/>
      <c r="I60" s="46"/>
      <c r="J60" s="46"/>
      <c r="K60" s="46"/>
      <c r="L60" s="46"/>
      <c r="M60" s="46"/>
      <c r="N60" s="2" t="s">
        <v>116</v>
      </c>
    </row>
    <row r="61" spans="2:14" ht="36" customHeight="1" x14ac:dyDescent="0.2">
      <c r="B61" s="5" t="s">
        <v>586</v>
      </c>
      <c r="C61" s="5" t="s">
        <v>587</v>
      </c>
      <c r="D61" s="21" t="s">
        <v>153</v>
      </c>
      <c r="E61" s="24"/>
      <c r="F61" s="5" t="s">
        <v>83</v>
      </c>
      <c r="G61" s="38" t="s">
        <v>588</v>
      </c>
      <c r="H61" s="38"/>
      <c r="I61" s="38"/>
      <c r="J61" s="38"/>
      <c r="K61" s="38"/>
      <c r="L61" s="38"/>
      <c r="M61" s="38"/>
      <c r="N61" s="5"/>
    </row>
    <row r="62" spans="2:14" ht="18" customHeight="1" x14ac:dyDescent="0.2">
      <c r="B62" s="5"/>
      <c r="C62" s="5"/>
      <c r="D62" s="21"/>
      <c r="E62" s="24"/>
      <c r="F62" s="5"/>
      <c r="G62" s="38"/>
      <c r="H62" s="38"/>
      <c r="I62" s="38"/>
      <c r="J62" s="38"/>
      <c r="K62" s="38"/>
      <c r="L62" s="38"/>
      <c r="M62" s="38"/>
      <c r="N62" s="5"/>
    </row>
    <row r="63" spans="2:14" ht="18" customHeight="1" x14ac:dyDescent="0.2">
      <c r="B63" s="5"/>
      <c r="C63" s="5"/>
      <c r="D63" s="21"/>
      <c r="E63" s="24"/>
      <c r="F63" s="5"/>
      <c r="G63" s="38"/>
      <c r="H63" s="38"/>
      <c r="I63" s="38"/>
      <c r="J63" s="38"/>
      <c r="K63" s="38"/>
      <c r="L63" s="38"/>
      <c r="M63" s="38"/>
      <c r="N63" s="5"/>
    </row>
    <row r="64" spans="2:14" ht="18" customHeight="1" x14ac:dyDescent="0.2">
      <c r="B64" s="5"/>
      <c r="C64" s="5"/>
      <c r="D64" s="21"/>
      <c r="E64" s="24"/>
      <c r="F64" s="5"/>
      <c r="G64" s="38"/>
      <c r="H64" s="38"/>
      <c r="I64" s="38"/>
      <c r="J64" s="38"/>
      <c r="K64" s="38"/>
      <c r="L64" s="38"/>
      <c r="M64" s="38"/>
      <c r="N64" s="5"/>
    </row>
  </sheetData>
  <mergeCells count="87">
    <mergeCell ref="B2:N2"/>
    <mergeCell ref="B3:N3"/>
    <mergeCell ref="B4:N4"/>
    <mergeCell ref="B7:N7"/>
    <mergeCell ref="C8:N8"/>
    <mergeCell ref="C9:N9"/>
    <mergeCell ref="C10:N10"/>
    <mergeCell ref="C11:N11"/>
    <mergeCell ref="C12:N12"/>
    <mergeCell ref="C13:N13"/>
    <mergeCell ref="C14:N14"/>
    <mergeCell ref="C15:N15"/>
    <mergeCell ref="C16:N16"/>
    <mergeCell ref="C17:N17"/>
    <mergeCell ref="C18:N18"/>
    <mergeCell ref="C19:N19"/>
    <mergeCell ref="B21:N21"/>
    <mergeCell ref="C22:D22"/>
    <mergeCell ref="F22:N22"/>
    <mergeCell ref="C23:D23"/>
    <mergeCell ref="F23:N23"/>
    <mergeCell ref="C24:D24"/>
    <mergeCell ref="F24:N24"/>
    <mergeCell ref="C25:D25"/>
    <mergeCell ref="F25:N25"/>
    <mergeCell ref="C26:D26"/>
    <mergeCell ref="F26:N26"/>
    <mergeCell ref="C27:D27"/>
    <mergeCell ref="F27:N27"/>
    <mergeCell ref="C28:D28"/>
    <mergeCell ref="F28:N28"/>
    <mergeCell ref="C29:D29"/>
    <mergeCell ref="F29:N29"/>
    <mergeCell ref="B31:N31"/>
    <mergeCell ref="C32:D32"/>
    <mergeCell ref="E32:F32"/>
    <mergeCell ref="G32:H32"/>
    <mergeCell ref="I32:K32"/>
    <mergeCell ref="L32:N32"/>
    <mergeCell ref="C33:D33"/>
    <mergeCell ref="E33:F33"/>
    <mergeCell ref="G33:H33"/>
    <mergeCell ref="I33:K33"/>
    <mergeCell ref="L33:N33"/>
    <mergeCell ref="C34:D34"/>
    <mergeCell ref="E34:F34"/>
    <mergeCell ref="G34:H34"/>
    <mergeCell ref="I34:K34"/>
    <mergeCell ref="L34:N34"/>
    <mergeCell ref="C35:D35"/>
    <mergeCell ref="E35:F35"/>
    <mergeCell ref="G35:H35"/>
    <mergeCell ref="I35:K35"/>
    <mergeCell ref="L35:N35"/>
    <mergeCell ref="C36:D36"/>
    <mergeCell ref="E36:F36"/>
    <mergeCell ref="G36:H36"/>
    <mergeCell ref="I36:K36"/>
    <mergeCell ref="L36:N36"/>
    <mergeCell ref="C37:D37"/>
    <mergeCell ref="E37:F37"/>
    <mergeCell ref="G37:H37"/>
    <mergeCell ref="I37:K37"/>
    <mergeCell ref="L37:N37"/>
    <mergeCell ref="C38:D38"/>
    <mergeCell ref="E38:F38"/>
    <mergeCell ref="G38:H38"/>
    <mergeCell ref="I38:K38"/>
    <mergeCell ref="L38:N38"/>
    <mergeCell ref="C39:D39"/>
    <mergeCell ref="E39:F39"/>
    <mergeCell ref="G39:H39"/>
    <mergeCell ref="I39:K39"/>
    <mergeCell ref="L39:N39"/>
    <mergeCell ref="B41:N41"/>
    <mergeCell ref="B51:N51"/>
    <mergeCell ref="K52:M52"/>
    <mergeCell ref="K53:M53"/>
    <mergeCell ref="K54:M54"/>
    <mergeCell ref="G62:M62"/>
    <mergeCell ref="G63:M63"/>
    <mergeCell ref="G64:M64"/>
    <mergeCell ref="K55:M55"/>
    <mergeCell ref="K56:M56"/>
    <mergeCell ref="B59:N59"/>
    <mergeCell ref="G60:M60"/>
    <mergeCell ref="G61:M61"/>
  </mergeCells>
  <conditionalFormatting sqref="E23:E29">
    <cfRule type="expression" dxfId="16" priority="2">
      <formula>$E23="Confirmé"</formula>
    </cfRule>
    <cfRule type="expression" dxfId="15" priority="3">
      <formula>$E23="À confirmer"</formula>
    </cfRule>
    <cfRule type="expression" dxfId="14" priority="4">
      <formula>$E23="Non trouvé"</formula>
    </cfRule>
  </conditionalFormatting>
  <hyperlinks>
    <hyperlink ref="B5" r:id="rId1" location="'Synthèse'!A1" xr:uid="{00000000-0004-0000-0600-000000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showErrorMessage="1" error="Choisir une valeur dans la liste" xr:uid="{00000000-0002-0000-0600-000000000000}">
          <x14:formula1>
            <xm:f>Listes!$C$2:$C$5</xm:f>
          </x14:formula1>
          <x14:formula2>
            <xm:f>0</xm:f>
          </x14:formula2>
          <xm:sqref>C13 F61:F64 J53:J56</xm:sqref>
        </x14:dataValidation>
        <x14:dataValidation type="list" allowBlank="1" showErrorMessage="1" error="Choisir une valeur dans la liste" xr:uid="{00000000-0002-0000-0600-000001000000}">
          <x14:formula1>
            <xm:f>Listes!$G$2:$G$4</xm:f>
          </x14:formula1>
          <x14:formula2>
            <xm:f>0</xm:f>
          </x14:formula2>
          <xm:sqref>C15</xm:sqref>
        </x14:dataValidation>
        <x14:dataValidation type="list" allowBlank="1" showErrorMessage="1" error="Choisir une valeur dans la liste" xr:uid="{00000000-0002-0000-0600-000002000000}">
          <x14:formula1>
            <xm:f>Listes!$D$2:$D$4</xm:f>
          </x14:formula1>
          <x14:formula2>
            <xm:f>0</xm:f>
          </x14:formula2>
          <xm:sqref>D43:D47</xm:sqref>
        </x14:dataValidation>
        <x14:dataValidation type="list" allowBlank="1" showErrorMessage="1" error="Choisir une valeur dans la liste" xr:uid="{00000000-0002-0000-0600-000003000000}">
          <x14:formula1>
            <xm:f>Listes!$A$2:$A$10</xm:f>
          </x14:formula1>
          <x14:formula2>
            <xm:f>0</xm:f>
          </x14:formula2>
          <xm:sqref>D53:D56</xm:sqref>
        </x14:dataValidation>
        <x14:dataValidation type="list" allowBlank="1" showErrorMessage="1" error="Choisir une valeur dans la liste" xr:uid="{00000000-0002-0000-0600-000005000000}">
          <x14:formula1>
            <xm:f>Listes!$E$2:$E$4</xm:f>
          </x14:formula1>
          <x14:formula2>
            <xm:f>0</xm:f>
          </x14:formula2>
          <xm:sqref>D61:D64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8C9B0"/>
    <pageSetUpPr fitToPage="1"/>
  </sheetPr>
  <dimension ref="B2:N53"/>
  <sheetViews>
    <sheetView showGridLines="0" zoomScaleNormal="100" workbookViewId="0">
      <pane xSplit="2" ySplit="5" topLeftCell="C13" activePane="bottomRight" state="frozen"/>
      <selection pane="topRight" activeCell="C1" sqref="C1"/>
      <selection pane="bottomLeft" activeCell="A6" sqref="A6"/>
      <selection pane="bottomRight"/>
    </sheetView>
  </sheetViews>
  <sheetFormatPr baseColWidth="10" defaultColWidth="8.6640625" defaultRowHeight="15" x14ac:dyDescent="0.2"/>
  <cols>
    <col min="1" max="1" width="3" customWidth="1"/>
    <col min="2" max="2" width="34" customWidth="1"/>
    <col min="3" max="3" width="20" customWidth="1"/>
    <col min="4" max="4" width="14" customWidth="1"/>
    <col min="5" max="5" width="10" customWidth="1"/>
    <col min="6" max="6" width="13" customWidth="1"/>
    <col min="7" max="7" width="15" customWidth="1"/>
    <col min="8" max="9" width="14" customWidth="1"/>
    <col min="10" max="13" width="15" customWidth="1"/>
    <col min="14" max="14" width="46" customWidth="1"/>
  </cols>
  <sheetData>
    <row r="2" spans="2:14" ht="34.5" customHeight="1" x14ac:dyDescent="0.2">
      <c r="B2" s="40" t="s">
        <v>589</v>
      </c>
      <c r="C2" s="40"/>
      <c r="D2" s="40"/>
      <c r="E2" s="40"/>
      <c r="F2" s="40"/>
      <c r="G2" s="40"/>
      <c r="H2" s="40"/>
      <c r="I2" s="40"/>
      <c r="J2" s="40"/>
      <c r="K2" s="40"/>
      <c r="L2" s="40"/>
      <c r="M2" s="40"/>
      <c r="N2" s="40"/>
    </row>
    <row r="3" spans="2:14" ht="19.5" customHeight="1" x14ac:dyDescent="0.2">
      <c r="B3" s="41" t="s">
        <v>590</v>
      </c>
      <c r="C3" s="41"/>
      <c r="D3" s="41"/>
      <c r="E3" s="41"/>
      <c r="F3" s="41"/>
      <c r="G3" s="41"/>
      <c r="H3" s="41"/>
      <c r="I3" s="41"/>
      <c r="J3" s="41"/>
      <c r="K3" s="41"/>
      <c r="L3" s="41"/>
      <c r="M3" s="41"/>
      <c r="N3" s="41"/>
    </row>
    <row r="4" spans="2:14" ht="18" customHeight="1" x14ac:dyDescent="0.2">
      <c r="B4" s="41" t="s">
        <v>378</v>
      </c>
      <c r="C4" s="41"/>
      <c r="D4" s="41"/>
      <c r="E4" s="41"/>
      <c r="F4" s="41"/>
      <c r="G4" s="41"/>
      <c r="H4" s="41"/>
      <c r="I4" s="41"/>
      <c r="J4" s="41"/>
      <c r="K4" s="41"/>
      <c r="L4" s="41"/>
      <c r="M4" s="41"/>
      <c r="N4" s="41"/>
    </row>
    <row r="5" spans="2:14" x14ac:dyDescent="0.2">
      <c r="B5" s="20" t="s">
        <v>102</v>
      </c>
    </row>
    <row r="7" spans="2:14" ht="25.5" customHeight="1" x14ac:dyDescent="0.2">
      <c r="B7" s="39" t="s">
        <v>379</v>
      </c>
      <c r="C7" s="39"/>
      <c r="D7" s="39"/>
      <c r="E7" s="39"/>
      <c r="F7" s="39"/>
      <c r="G7" s="39"/>
      <c r="H7" s="39"/>
      <c r="I7" s="39"/>
      <c r="J7" s="39"/>
      <c r="K7" s="39"/>
      <c r="L7" s="39"/>
      <c r="M7" s="39"/>
      <c r="N7" s="39"/>
    </row>
    <row r="8" spans="2:14" ht="18" customHeight="1" x14ac:dyDescent="0.2">
      <c r="B8" s="6" t="s">
        <v>380</v>
      </c>
      <c r="C8" s="38" t="s">
        <v>591</v>
      </c>
      <c r="D8" s="38"/>
      <c r="E8" s="38"/>
      <c r="F8" s="38"/>
      <c r="G8" s="38"/>
      <c r="H8" s="38"/>
      <c r="I8" s="38"/>
      <c r="J8" s="38"/>
      <c r="K8" s="38"/>
      <c r="L8" s="38"/>
      <c r="M8" s="38"/>
      <c r="N8" s="38"/>
    </row>
    <row r="9" spans="2:14" ht="18" customHeight="1" x14ac:dyDescent="0.2">
      <c r="B9" s="6" t="s">
        <v>592</v>
      </c>
      <c r="C9" s="38" t="s">
        <v>593</v>
      </c>
      <c r="D9" s="38"/>
      <c r="E9" s="38"/>
      <c r="F9" s="38"/>
      <c r="G9" s="38"/>
      <c r="H9" s="38"/>
      <c r="I9" s="38"/>
      <c r="J9" s="38"/>
      <c r="K9" s="38"/>
      <c r="L9" s="38"/>
      <c r="M9" s="38"/>
      <c r="N9" s="38"/>
    </row>
    <row r="10" spans="2:14" ht="30" customHeight="1" x14ac:dyDescent="0.2">
      <c r="B10" s="6" t="s">
        <v>594</v>
      </c>
      <c r="C10" s="38" t="s">
        <v>595</v>
      </c>
      <c r="D10" s="38"/>
      <c r="E10" s="38"/>
      <c r="F10" s="38"/>
      <c r="G10" s="38"/>
      <c r="H10" s="38"/>
      <c r="I10" s="38"/>
      <c r="J10" s="38"/>
      <c r="K10" s="38"/>
      <c r="L10" s="38"/>
      <c r="M10" s="38"/>
      <c r="N10" s="38"/>
    </row>
    <row r="11" spans="2:14" ht="18" customHeight="1" x14ac:dyDescent="0.2">
      <c r="B11" s="6" t="s">
        <v>455</v>
      </c>
      <c r="C11" s="38" t="s">
        <v>596</v>
      </c>
      <c r="D11" s="38"/>
      <c r="E11" s="38"/>
      <c r="F11" s="38"/>
      <c r="G11" s="38"/>
      <c r="H11" s="38"/>
      <c r="I11" s="38"/>
      <c r="J11" s="38"/>
      <c r="K11" s="38"/>
      <c r="L11" s="38"/>
      <c r="M11" s="38"/>
      <c r="N11" s="38"/>
    </row>
    <row r="12" spans="2:14" ht="18" customHeight="1" x14ac:dyDescent="0.2">
      <c r="B12" s="6" t="s">
        <v>386</v>
      </c>
      <c r="C12" s="48"/>
      <c r="D12" s="48"/>
      <c r="E12" s="48"/>
      <c r="F12" s="48"/>
      <c r="G12" s="48"/>
      <c r="H12" s="48"/>
      <c r="I12" s="48"/>
      <c r="J12" s="48"/>
      <c r="K12" s="48"/>
      <c r="L12" s="48"/>
      <c r="M12" s="48"/>
      <c r="N12" s="48"/>
    </row>
    <row r="13" spans="2:14" ht="18" customHeight="1" x14ac:dyDescent="0.2">
      <c r="B13" s="6" t="s">
        <v>387</v>
      </c>
      <c r="C13" s="48"/>
      <c r="D13" s="48"/>
      <c r="E13" s="48"/>
      <c r="F13" s="48"/>
      <c r="G13" s="48"/>
      <c r="H13" s="48"/>
      <c r="I13" s="48"/>
      <c r="J13" s="48"/>
      <c r="K13" s="48"/>
      <c r="L13" s="48"/>
      <c r="M13" s="48"/>
      <c r="N13" s="48"/>
    </row>
    <row r="14" spans="2:14" ht="18" customHeight="1" x14ac:dyDescent="0.2">
      <c r="B14" s="6" t="s">
        <v>388</v>
      </c>
      <c r="C14" s="38" t="s">
        <v>597</v>
      </c>
      <c r="D14" s="38"/>
      <c r="E14" s="38"/>
      <c r="F14" s="38"/>
      <c r="G14" s="38"/>
      <c r="H14" s="38"/>
      <c r="I14" s="38"/>
      <c r="J14" s="38"/>
      <c r="K14" s="38"/>
      <c r="L14" s="38"/>
      <c r="M14" s="38"/>
      <c r="N14" s="38"/>
    </row>
    <row r="15" spans="2:14" ht="18" customHeight="1" x14ac:dyDescent="0.2">
      <c r="B15" s="6" t="s">
        <v>389</v>
      </c>
      <c r="C15" s="48"/>
      <c r="D15" s="48"/>
      <c r="E15" s="48"/>
      <c r="F15" s="48"/>
      <c r="G15" s="48"/>
      <c r="H15" s="48"/>
      <c r="I15" s="48"/>
      <c r="J15" s="48"/>
      <c r="K15" s="48"/>
      <c r="L15" s="48"/>
      <c r="M15" s="48"/>
      <c r="N15" s="48"/>
    </row>
    <row r="16" spans="2:14" ht="18" customHeight="1" x14ac:dyDescent="0.2">
      <c r="B16" s="6" t="s">
        <v>390</v>
      </c>
      <c r="C16" s="49"/>
      <c r="D16" s="49"/>
      <c r="E16" s="49"/>
      <c r="F16" s="49"/>
      <c r="G16" s="49"/>
      <c r="H16" s="49"/>
      <c r="I16" s="49"/>
      <c r="J16" s="49"/>
      <c r="K16" s="49"/>
      <c r="L16" s="49"/>
      <c r="M16" s="49"/>
      <c r="N16" s="49"/>
    </row>
    <row r="17" spans="2:14" ht="18" customHeight="1" x14ac:dyDescent="0.2">
      <c r="B17" s="6" t="s">
        <v>391</v>
      </c>
      <c r="C17" s="49"/>
      <c r="D17" s="49"/>
      <c r="E17" s="49"/>
      <c r="F17" s="49"/>
      <c r="G17" s="49"/>
      <c r="H17" s="49"/>
      <c r="I17" s="49"/>
      <c r="J17" s="49"/>
      <c r="K17" s="49"/>
      <c r="L17" s="49"/>
      <c r="M17" s="49"/>
      <c r="N17" s="49"/>
    </row>
    <row r="18" spans="2:14" ht="30" customHeight="1" x14ac:dyDescent="0.2">
      <c r="B18" s="6" t="s">
        <v>598</v>
      </c>
      <c r="C18" s="38" t="s">
        <v>599</v>
      </c>
      <c r="D18" s="38"/>
      <c r="E18" s="38"/>
      <c r="F18" s="38"/>
      <c r="G18" s="38"/>
      <c r="H18" s="38"/>
      <c r="I18" s="38"/>
      <c r="J18" s="38"/>
      <c r="K18" s="38"/>
      <c r="L18" s="38"/>
      <c r="M18" s="38"/>
      <c r="N18" s="38"/>
    </row>
    <row r="20" spans="2:14" ht="25.5" customHeight="1" x14ac:dyDescent="0.2">
      <c r="B20" s="39" t="s">
        <v>600</v>
      </c>
      <c r="C20" s="39"/>
      <c r="D20" s="39"/>
      <c r="E20" s="39"/>
      <c r="F20" s="39"/>
      <c r="G20" s="39"/>
      <c r="H20" s="39"/>
      <c r="I20" s="39"/>
      <c r="J20" s="39"/>
      <c r="K20" s="39"/>
      <c r="L20" s="39"/>
      <c r="M20" s="39"/>
      <c r="N20" s="39"/>
    </row>
    <row r="21" spans="2:14" ht="30" customHeight="1" x14ac:dyDescent="0.2">
      <c r="B21" s="2" t="s">
        <v>396</v>
      </c>
      <c r="C21" s="46" t="s">
        <v>395</v>
      </c>
      <c r="D21" s="46"/>
      <c r="E21" s="46" t="s">
        <v>410</v>
      </c>
      <c r="F21" s="46"/>
      <c r="G21" s="46" t="s">
        <v>411</v>
      </c>
      <c r="H21" s="46"/>
      <c r="I21" s="46" t="s">
        <v>412</v>
      </c>
      <c r="J21" s="46"/>
      <c r="K21" s="46"/>
      <c r="L21" s="46" t="s">
        <v>353</v>
      </c>
      <c r="M21" s="46"/>
      <c r="N21" s="46"/>
    </row>
    <row r="22" spans="2:14" ht="25.5" customHeight="1" x14ac:dyDescent="0.2">
      <c r="B22" s="1" t="s">
        <v>601</v>
      </c>
      <c r="C22" s="38" t="s">
        <v>406</v>
      </c>
      <c r="D22" s="38"/>
      <c r="E22" s="38" t="s">
        <v>469</v>
      </c>
      <c r="F22" s="38"/>
      <c r="G22" s="38" t="s">
        <v>602</v>
      </c>
      <c r="H22" s="38"/>
      <c r="I22" s="38" t="s">
        <v>603</v>
      </c>
      <c r="J22" s="38"/>
      <c r="K22" s="38"/>
      <c r="L22" s="38" t="s">
        <v>478</v>
      </c>
      <c r="M22" s="38"/>
      <c r="N22" s="38"/>
    </row>
    <row r="23" spans="2:14" ht="25.5" customHeight="1" x14ac:dyDescent="0.2">
      <c r="B23" s="1" t="s">
        <v>604</v>
      </c>
      <c r="C23" s="38" t="s">
        <v>605</v>
      </c>
      <c r="D23" s="38"/>
      <c r="E23" s="38" t="s">
        <v>475</v>
      </c>
      <c r="F23" s="38"/>
      <c r="G23" s="38" t="s">
        <v>606</v>
      </c>
      <c r="H23" s="38"/>
      <c r="I23" s="38" t="s">
        <v>607</v>
      </c>
      <c r="J23" s="38"/>
      <c r="K23" s="38"/>
      <c r="L23" s="38" t="s">
        <v>608</v>
      </c>
      <c r="M23" s="38"/>
      <c r="N23" s="38"/>
    </row>
    <row r="24" spans="2:14" ht="25.5" customHeight="1" x14ac:dyDescent="0.2">
      <c r="B24" s="1" t="s">
        <v>609</v>
      </c>
      <c r="C24" s="38" t="s">
        <v>610</v>
      </c>
      <c r="D24" s="38"/>
      <c r="E24" s="38" t="s">
        <v>565</v>
      </c>
      <c r="F24" s="38"/>
      <c r="G24" s="38" t="s">
        <v>611</v>
      </c>
      <c r="H24" s="38"/>
      <c r="I24" s="38" t="s">
        <v>612</v>
      </c>
      <c r="J24" s="38"/>
      <c r="K24" s="38"/>
      <c r="L24" s="38" t="s">
        <v>613</v>
      </c>
      <c r="M24" s="38"/>
      <c r="N24" s="38"/>
    </row>
    <row r="25" spans="2:14" ht="25.5" customHeight="1" x14ac:dyDescent="0.2">
      <c r="B25" s="1" t="s">
        <v>614</v>
      </c>
      <c r="C25" s="38" t="s">
        <v>615</v>
      </c>
      <c r="D25" s="38"/>
      <c r="E25" s="38" t="s">
        <v>481</v>
      </c>
      <c r="F25" s="38"/>
      <c r="G25" s="38" t="s">
        <v>616</v>
      </c>
      <c r="H25" s="38"/>
      <c r="I25" s="38" t="s">
        <v>617</v>
      </c>
      <c r="J25" s="38"/>
      <c r="K25" s="38"/>
      <c r="L25" s="38" t="s">
        <v>478</v>
      </c>
      <c r="M25" s="38"/>
      <c r="N25" s="38"/>
    </row>
    <row r="26" spans="2:14" ht="25.5" customHeight="1" x14ac:dyDescent="0.2">
      <c r="B26" s="1" t="s">
        <v>618</v>
      </c>
      <c r="C26" s="38" t="s">
        <v>619</v>
      </c>
      <c r="D26" s="38"/>
      <c r="E26" s="38" t="s">
        <v>481</v>
      </c>
      <c r="F26" s="38"/>
      <c r="G26" s="38" t="s">
        <v>620</v>
      </c>
      <c r="H26" s="38"/>
      <c r="I26" s="38" t="s">
        <v>621</v>
      </c>
      <c r="J26" s="38"/>
      <c r="K26" s="38"/>
      <c r="L26" s="38" t="s">
        <v>478</v>
      </c>
      <c r="M26" s="38"/>
      <c r="N26" s="38"/>
    </row>
    <row r="27" spans="2:14" ht="25.5" customHeight="1" x14ac:dyDescent="0.2">
      <c r="B27" s="1" t="s">
        <v>622</v>
      </c>
      <c r="C27" s="38" t="s">
        <v>623</v>
      </c>
      <c r="D27" s="38"/>
      <c r="E27" s="38" t="s">
        <v>481</v>
      </c>
      <c r="F27" s="38"/>
      <c r="G27" s="38" t="s">
        <v>624</v>
      </c>
      <c r="H27" s="38"/>
      <c r="I27" s="38" t="s">
        <v>625</v>
      </c>
      <c r="J27" s="38"/>
      <c r="K27" s="38"/>
      <c r="L27" s="38" t="s">
        <v>478</v>
      </c>
      <c r="M27" s="38"/>
      <c r="N27" s="38"/>
    </row>
    <row r="28" spans="2:14" ht="25.5" customHeight="1" x14ac:dyDescent="0.2">
      <c r="B28" s="1" t="s">
        <v>626</v>
      </c>
      <c r="C28" s="38" t="s">
        <v>627</v>
      </c>
      <c r="D28" s="38"/>
      <c r="E28" s="38" t="s">
        <v>481</v>
      </c>
      <c r="F28" s="38"/>
      <c r="G28" s="38" t="s">
        <v>628</v>
      </c>
      <c r="H28" s="38"/>
      <c r="I28" s="38" t="s">
        <v>629</v>
      </c>
      <c r="J28" s="38"/>
      <c r="K28" s="38"/>
      <c r="L28" s="38"/>
      <c r="M28" s="38"/>
      <c r="N28" s="38"/>
    </row>
    <row r="29" spans="2:14" ht="25.5" customHeight="1" x14ac:dyDescent="0.2">
      <c r="B29" s="1" t="s">
        <v>630</v>
      </c>
      <c r="C29" s="38" t="s">
        <v>631</v>
      </c>
      <c r="D29" s="38"/>
      <c r="E29" s="38" t="s">
        <v>455</v>
      </c>
      <c r="F29" s="38"/>
      <c r="G29" s="38" t="s">
        <v>632</v>
      </c>
      <c r="H29" s="38"/>
      <c r="I29" s="38" t="s">
        <v>633</v>
      </c>
      <c r="J29" s="38"/>
      <c r="K29" s="38"/>
      <c r="L29" s="38"/>
      <c r="M29" s="38"/>
      <c r="N29" s="38"/>
    </row>
    <row r="31" spans="2:14" ht="25.5" customHeight="1" x14ac:dyDescent="0.2">
      <c r="B31" s="39" t="s">
        <v>634</v>
      </c>
      <c r="C31" s="39"/>
      <c r="D31" s="39"/>
      <c r="E31" s="39"/>
      <c r="F31" s="39"/>
      <c r="G31" s="39"/>
      <c r="H31" s="39"/>
      <c r="I31" s="39"/>
      <c r="J31" s="39"/>
      <c r="K31" s="39"/>
      <c r="L31" s="39"/>
      <c r="M31" s="39"/>
      <c r="N31" s="39"/>
    </row>
    <row r="32" spans="2:14" ht="30" customHeight="1" x14ac:dyDescent="0.2">
      <c r="B32" s="2" t="s">
        <v>415</v>
      </c>
      <c r="C32" s="2" t="s">
        <v>416</v>
      </c>
      <c r="D32" s="2" t="s">
        <v>109</v>
      </c>
      <c r="E32" s="2" t="s">
        <v>417</v>
      </c>
      <c r="F32" s="2" t="s">
        <v>418</v>
      </c>
      <c r="G32" s="2" t="s">
        <v>419</v>
      </c>
      <c r="H32" s="2" t="s">
        <v>420</v>
      </c>
      <c r="I32" s="2" t="s">
        <v>37</v>
      </c>
      <c r="J32" s="2" t="s">
        <v>421</v>
      </c>
      <c r="K32" s="2" t="s">
        <v>422</v>
      </c>
      <c r="L32" s="2" t="s">
        <v>423</v>
      </c>
      <c r="M32" s="2" t="s">
        <v>55</v>
      </c>
      <c r="N32" s="2" t="s">
        <v>116</v>
      </c>
    </row>
    <row r="33" spans="2:14" ht="42" customHeight="1" x14ac:dyDescent="0.2">
      <c r="B33" s="5" t="s">
        <v>289</v>
      </c>
      <c r="C33" s="5" t="s">
        <v>635</v>
      </c>
      <c r="D33" s="21" t="s">
        <v>152</v>
      </c>
      <c r="E33" s="29"/>
      <c r="F33" s="24"/>
      <c r="G33" s="27"/>
      <c r="H33" s="12"/>
      <c r="I33" s="12"/>
      <c r="J33" s="12" t="str">
        <f>IF(G33="","",G33-N(I33))</f>
        <v/>
      </c>
      <c r="K33" s="12" t="str">
        <f>IF(G33="","",J33-N(H33))</f>
        <v/>
      </c>
      <c r="L33" s="12"/>
      <c r="M33" s="12" t="str">
        <f>IF(G33="","",G33-N(L33))</f>
        <v/>
      </c>
      <c r="N33" s="5" t="s">
        <v>636</v>
      </c>
    </row>
    <row r="34" spans="2:14" ht="18" customHeight="1" x14ac:dyDescent="0.2">
      <c r="B34" s="5"/>
      <c r="C34" s="5"/>
      <c r="D34" s="21"/>
      <c r="E34" s="29"/>
      <c r="F34" s="24"/>
      <c r="G34" s="12"/>
      <c r="H34" s="12"/>
      <c r="I34" s="12"/>
      <c r="J34" s="12" t="str">
        <f>IF(G34="","",G34-N(I34))</f>
        <v/>
      </c>
      <c r="K34" s="12" t="str">
        <f>IF(G34="","",J34-N(H34))</f>
        <v/>
      </c>
      <c r="L34" s="12"/>
      <c r="M34" s="12" t="str">
        <f>IF(G34="","",G34-N(L34))</f>
        <v/>
      </c>
      <c r="N34" s="5"/>
    </row>
    <row r="35" spans="2:14" ht="18" customHeight="1" x14ac:dyDescent="0.2">
      <c r="B35" s="5"/>
      <c r="C35" s="5"/>
      <c r="D35" s="21"/>
      <c r="E35" s="29"/>
      <c r="F35" s="24"/>
      <c r="G35" s="12"/>
      <c r="H35" s="12"/>
      <c r="I35" s="12"/>
      <c r="J35" s="12" t="str">
        <f>IF(G35="","",G35-N(I35))</f>
        <v/>
      </c>
      <c r="K35" s="12" t="str">
        <f>IF(G35="","",J35-N(H35))</f>
        <v/>
      </c>
      <c r="L35" s="12"/>
      <c r="M35" s="12" t="str">
        <f>IF(G35="","",G35-N(L35))</f>
        <v/>
      </c>
      <c r="N35" s="5"/>
    </row>
    <row r="36" spans="2:14" ht="18" customHeight="1" x14ac:dyDescent="0.2">
      <c r="B36" s="5"/>
      <c r="C36" s="5"/>
      <c r="D36" s="21"/>
      <c r="E36" s="29"/>
      <c r="F36" s="24"/>
      <c r="G36" s="12"/>
      <c r="H36" s="12"/>
      <c r="I36" s="12"/>
      <c r="J36" s="12" t="str">
        <f>IF(G36="","",G36-N(I36))</f>
        <v/>
      </c>
      <c r="K36" s="12" t="str">
        <f>IF(G36="","",J36-N(H36))</f>
        <v/>
      </c>
      <c r="L36" s="12"/>
      <c r="M36" s="12" t="str">
        <f>IF(G36="","",G36-N(L36))</f>
        <v/>
      </c>
      <c r="N36" s="5"/>
    </row>
    <row r="37" spans="2:14" ht="19.5" customHeight="1" x14ac:dyDescent="0.2">
      <c r="B37" s="4" t="s">
        <v>432</v>
      </c>
      <c r="C37" s="17"/>
      <c r="D37" s="17"/>
      <c r="E37" s="17"/>
      <c r="F37" s="17"/>
      <c r="G37" s="15">
        <f t="shared" ref="G37:M37" si="0">SUM(G33:G36)</f>
        <v>0</v>
      </c>
      <c r="H37" s="15">
        <f t="shared" si="0"/>
        <v>0</v>
      </c>
      <c r="I37" s="15">
        <f t="shared" si="0"/>
        <v>0</v>
      </c>
      <c r="J37" s="15">
        <f t="shared" si="0"/>
        <v>0</v>
      </c>
      <c r="K37" s="15">
        <f t="shared" si="0"/>
        <v>0</v>
      </c>
      <c r="L37" s="15">
        <f t="shared" si="0"/>
        <v>0</v>
      </c>
      <c r="M37" s="15">
        <f t="shared" si="0"/>
        <v>0</v>
      </c>
      <c r="N37" s="17"/>
    </row>
    <row r="38" spans="2:14" ht="19.5" customHeight="1" x14ac:dyDescent="0.2">
      <c r="B38" s="4" t="s">
        <v>433</v>
      </c>
      <c r="C38" s="17"/>
      <c r="D38" s="17"/>
      <c r="E38" s="17"/>
      <c r="F38" s="17"/>
      <c r="G38" s="15">
        <f>SUMIFS(G33:G36,$E$33:$E$36,2026)</f>
        <v>0</v>
      </c>
      <c r="H38" s="17"/>
      <c r="I38" s="15">
        <f>SUMIFS(I33:I36,$E$33:$E$36,2026)</f>
        <v>0</v>
      </c>
      <c r="J38" s="17"/>
      <c r="K38" s="15">
        <f>SUMIFS(K33:K36,$E$33:$E$36,2026)</f>
        <v>0</v>
      </c>
      <c r="L38" s="15">
        <f>SUMIFS(L33:L36,$E$33:$E$36,2026)</f>
        <v>0</v>
      </c>
      <c r="M38" s="15">
        <f>SUMIFS(M33:M36,$E$33:$E$36,2026)</f>
        <v>0</v>
      </c>
      <c r="N38" s="17"/>
    </row>
    <row r="40" spans="2:14" ht="25.5" customHeight="1" x14ac:dyDescent="0.2">
      <c r="B40" s="39" t="s">
        <v>637</v>
      </c>
      <c r="C40" s="39"/>
      <c r="D40" s="39"/>
      <c r="E40" s="39"/>
      <c r="F40" s="39"/>
      <c r="G40" s="39"/>
      <c r="H40" s="39"/>
      <c r="I40" s="39"/>
      <c r="J40" s="39"/>
      <c r="K40" s="39"/>
      <c r="L40" s="39"/>
      <c r="M40" s="39"/>
      <c r="N40" s="39"/>
    </row>
    <row r="41" spans="2:14" ht="30" customHeight="1" x14ac:dyDescent="0.2">
      <c r="B41" s="2" t="s">
        <v>435</v>
      </c>
      <c r="C41" s="2" t="s">
        <v>416</v>
      </c>
      <c r="D41" s="2" t="s">
        <v>70</v>
      </c>
      <c r="E41" s="2" t="s">
        <v>436</v>
      </c>
      <c r="F41" s="2" t="s">
        <v>437</v>
      </c>
      <c r="G41" s="2" t="s">
        <v>35</v>
      </c>
      <c r="H41" s="2" t="s">
        <v>110</v>
      </c>
      <c r="I41" s="2" t="s">
        <v>36</v>
      </c>
      <c r="J41" s="2" t="s">
        <v>438</v>
      </c>
      <c r="K41" s="46" t="s">
        <v>114</v>
      </c>
      <c r="L41" s="46"/>
      <c r="M41" s="46"/>
      <c r="N41" s="2" t="s">
        <v>116</v>
      </c>
    </row>
    <row r="42" spans="2:14" ht="51.75" customHeight="1" x14ac:dyDescent="0.2">
      <c r="B42" s="5" t="s">
        <v>638</v>
      </c>
      <c r="C42" s="5" t="s">
        <v>639</v>
      </c>
      <c r="D42" s="21" t="s">
        <v>76</v>
      </c>
      <c r="E42" s="24"/>
      <c r="F42" s="24"/>
      <c r="G42" s="12">
        <v>41135000</v>
      </c>
      <c r="H42" s="22">
        <v>0.6</v>
      </c>
      <c r="I42" s="12">
        <f>IF(OR(G42="",H42=""),"",G42*H42)</f>
        <v>24681000</v>
      </c>
      <c r="J42" s="5" t="s">
        <v>86</v>
      </c>
      <c r="K42" s="38" t="s">
        <v>640</v>
      </c>
      <c r="L42" s="38"/>
      <c r="M42" s="38"/>
      <c r="N42" s="5" t="s">
        <v>641</v>
      </c>
    </row>
    <row r="43" spans="2:14" ht="51.75" customHeight="1" x14ac:dyDescent="0.2">
      <c r="B43" s="5" t="s">
        <v>642</v>
      </c>
      <c r="C43" s="5" t="s">
        <v>643</v>
      </c>
      <c r="D43" s="21" t="s">
        <v>76</v>
      </c>
      <c r="E43" s="24"/>
      <c r="F43" s="24"/>
      <c r="G43" s="12">
        <v>23000000</v>
      </c>
      <c r="H43" s="22">
        <v>0.6</v>
      </c>
      <c r="I43" s="12">
        <f>IF(OR(G43="",H43=""),"",G43*H43)</f>
        <v>13800000</v>
      </c>
      <c r="J43" s="5" t="s">
        <v>86</v>
      </c>
      <c r="K43" s="38" t="s">
        <v>644</v>
      </c>
      <c r="L43" s="38"/>
      <c r="M43" s="38"/>
      <c r="N43" s="5" t="s">
        <v>645</v>
      </c>
    </row>
    <row r="44" spans="2:14" ht="18" customHeight="1" x14ac:dyDescent="0.2">
      <c r="B44" s="5"/>
      <c r="C44" s="5"/>
      <c r="D44" s="21"/>
      <c r="E44" s="24"/>
      <c r="F44" s="24"/>
      <c r="G44" s="12"/>
      <c r="H44" s="22"/>
      <c r="I44" s="12" t="str">
        <f>IF(OR(G44="",H44=""),"",G44*H44)</f>
        <v/>
      </c>
      <c r="J44" s="5"/>
      <c r="K44" s="38"/>
      <c r="L44" s="38"/>
      <c r="M44" s="38"/>
      <c r="N44" s="5"/>
    </row>
    <row r="45" spans="2:14" ht="18" customHeight="1" x14ac:dyDescent="0.2">
      <c r="B45" s="5"/>
      <c r="C45" s="5"/>
      <c r="D45" s="21"/>
      <c r="E45" s="24"/>
      <c r="F45" s="24"/>
      <c r="G45" s="12"/>
      <c r="H45" s="22"/>
      <c r="I45" s="12" t="str">
        <f>IF(OR(G45="",H45=""),"",G45*H45)</f>
        <v/>
      </c>
      <c r="J45" s="5"/>
      <c r="K45" s="38"/>
      <c r="L45" s="38"/>
      <c r="M45" s="38"/>
      <c r="N45" s="5"/>
    </row>
    <row r="46" spans="2:14" ht="19.5" customHeight="1" x14ac:dyDescent="0.2">
      <c r="B46" s="4" t="s">
        <v>441</v>
      </c>
      <c r="C46" s="17"/>
      <c r="D46" s="17"/>
      <c r="E46" s="17"/>
      <c r="F46" s="17"/>
      <c r="G46" s="15">
        <f>SUM(G42:G45)</f>
        <v>64135000</v>
      </c>
      <c r="H46" s="17"/>
      <c r="I46" s="15">
        <f>SUM(I42:I45)</f>
        <v>38481000</v>
      </c>
      <c r="J46" s="17"/>
      <c r="K46" s="17"/>
      <c r="L46" s="17"/>
      <c r="M46" s="17"/>
      <c r="N46" s="17"/>
    </row>
    <row r="48" spans="2:14" ht="25.5" customHeight="1" x14ac:dyDescent="0.2">
      <c r="B48" s="39" t="s">
        <v>442</v>
      </c>
      <c r="C48" s="39"/>
      <c r="D48" s="39"/>
      <c r="E48" s="39"/>
      <c r="F48" s="39"/>
      <c r="G48" s="39"/>
      <c r="H48" s="39"/>
      <c r="I48" s="39"/>
      <c r="J48" s="39"/>
      <c r="K48" s="39"/>
      <c r="L48" s="39"/>
      <c r="M48" s="39"/>
      <c r="N48" s="39"/>
    </row>
    <row r="49" spans="2:14" ht="30" customHeight="1" x14ac:dyDescent="0.2">
      <c r="B49" s="2" t="s">
        <v>443</v>
      </c>
      <c r="C49" s="2" t="s">
        <v>107</v>
      </c>
      <c r="D49" s="2" t="s">
        <v>113</v>
      </c>
      <c r="E49" s="2" t="s">
        <v>115</v>
      </c>
      <c r="F49" s="2" t="s">
        <v>438</v>
      </c>
      <c r="G49" s="46" t="s">
        <v>444</v>
      </c>
      <c r="H49" s="46"/>
      <c r="I49" s="46"/>
      <c r="J49" s="46"/>
      <c r="K49" s="46"/>
      <c r="L49" s="46"/>
      <c r="M49" s="46"/>
      <c r="N49" s="2" t="s">
        <v>116</v>
      </c>
    </row>
    <row r="50" spans="2:14" ht="36" customHeight="1" x14ac:dyDescent="0.2">
      <c r="B50" s="5" t="s">
        <v>646</v>
      </c>
      <c r="C50" s="5" t="s">
        <v>647</v>
      </c>
      <c r="D50" s="21" t="s">
        <v>132</v>
      </c>
      <c r="E50" s="24"/>
      <c r="F50" s="5" t="s">
        <v>83</v>
      </c>
      <c r="G50" s="38" t="s">
        <v>648</v>
      </c>
      <c r="H50" s="38"/>
      <c r="I50" s="38"/>
      <c r="J50" s="38"/>
      <c r="K50" s="38"/>
      <c r="L50" s="38"/>
      <c r="M50" s="38"/>
      <c r="N50" s="5"/>
    </row>
    <row r="51" spans="2:14" ht="36" customHeight="1" x14ac:dyDescent="0.2">
      <c r="B51" s="5" t="s">
        <v>649</v>
      </c>
      <c r="C51" s="5" t="s">
        <v>154</v>
      </c>
      <c r="D51" s="21" t="s">
        <v>146</v>
      </c>
      <c r="E51" s="24"/>
      <c r="F51" s="5" t="s">
        <v>83</v>
      </c>
      <c r="G51" s="38" t="s">
        <v>650</v>
      </c>
      <c r="H51" s="38"/>
      <c r="I51" s="38"/>
      <c r="J51" s="38"/>
      <c r="K51" s="38"/>
      <c r="L51" s="38"/>
      <c r="M51" s="38"/>
      <c r="N51" s="5"/>
    </row>
    <row r="52" spans="2:14" ht="18" customHeight="1" x14ac:dyDescent="0.2">
      <c r="B52" s="5"/>
      <c r="C52" s="5"/>
      <c r="D52" s="21"/>
      <c r="E52" s="24"/>
      <c r="F52" s="5"/>
      <c r="G52" s="38"/>
      <c r="H52" s="38"/>
      <c r="I52" s="38"/>
      <c r="J52" s="38"/>
      <c r="K52" s="38"/>
      <c r="L52" s="38"/>
      <c r="M52" s="38"/>
      <c r="N52" s="5"/>
    </row>
    <row r="53" spans="2:14" ht="18" customHeight="1" x14ac:dyDescent="0.2">
      <c r="B53" s="5"/>
      <c r="C53" s="5"/>
      <c r="D53" s="21"/>
      <c r="E53" s="24"/>
      <c r="F53" s="5"/>
      <c r="G53" s="38"/>
      <c r="H53" s="38"/>
      <c r="I53" s="38"/>
      <c r="J53" s="38"/>
      <c r="K53" s="38"/>
      <c r="L53" s="38"/>
      <c r="M53" s="38"/>
      <c r="N53" s="5"/>
    </row>
  </sheetData>
  <mergeCells count="74">
    <mergeCell ref="B2:N2"/>
    <mergeCell ref="B3:N3"/>
    <mergeCell ref="B4:N4"/>
    <mergeCell ref="B7:N7"/>
    <mergeCell ref="C8:N8"/>
    <mergeCell ref="C9:N9"/>
    <mergeCell ref="C10:N10"/>
    <mergeCell ref="C11:N11"/>
    <mergeCell ref="C12:N12"/>
    <mergeCell ref="C13:N13"/>
    <mergeCell ref="C14:N14"/>
    <mergeCell ref="C15:N15"/>
    <mergeCell ref="C16:N16"/>
    <mergeCell ref="C17:N17"/>
    <mergeCell ref="C18:N18"/>
    <mergeCell ref="B20:N20"/>
    <mergeCell ref="C21:D21"/>
    <mergeCell ref="E21:F21"/>
    <mergeCell ref="G21:H21"/>
    <mergeCell ref="I21:K21"/>
    <mergeCell ref="L21:N21"/>
    <mergeCell ref="C22:D22"/>
    <mergeCell ref="E22:F22"/>
    <mergeCell ref="G22:H22"/>
    <mergeCell ref="I22:K22"/>
    <mergeCell ref="L22:N22"/>
    <mergeCell ref="C23:D23"/>
    <mergeCell ref="E23:F23"/>
    <mergeCell ref="G23:H23"/>
    <mergeCell ref="I23:K23"/>
    <mergeCell ref="L23:N23"/>
    <mergeCell ref="C24:D24"/>
    <mergeCell ref="E24:F24"/>
    <mergeCell ref="G24:H24"/>
    <mergeCell ref="I24:K24"/>
    <mergeCell ref="L24:N24"/>
    <mergeCell ref="C25:D25"/>
    <mergeCell ref="E25:F25"/>
    <mergeCell ref="G25:H25"/>
    <mergeCell ref="I25:K25"/>
    <mergeCell ref="L25:N25"/>
    <mergeCell ref="C26:D26"/>
    <mergeCell ref="E26:F26"/>
    <mergeCell ref="G26:H26"/>
    <mergeCell ref="I26:K26"/>
    <mergeCell ref="L26:N26"/>
    <mergeCell ref="C27:D27"/>
    <mergeCell ref="E27:F27"/>
    <mergeCell ref="G27:H27"/>
    <mergeCell ref="I27:K27"/>
    <mergeCell ref="L27:N27"/>
    <mergeCell ref="C28:D28"/>
    <mergeCell ref="E28:F28"/>
    <mergeCell ref="G28:H28"/>
    <mergeCell ref="I28:K28"/>
    <mergeCell ref="L28:N28"/>
    <mergeCell ref="C29:D29"/>
    <mergeCell ref="E29:F29"/>
    <mergeCell ref="G29:H29"/>
    <mergeCell ref="I29:K29"/>
    <mergeCell ref="L29:N29"/>
    <mergeCell ref="B31:N31"/>
    <mergeCell ref="B40:N40"/>
    <mergeCell ref="K41:M41"/>
    <mergeCell ref="K42:M42"/>
    <mergeCell ref="K43:M43"/>
    <mergeCell ref="G51:M51"/>
    <mergeCell ref="G52:M52"/>
    <mergeCell ref="G53:M53"/>
    <mergeCell ref="K44:M44"/>
    <mergeCell ref="K45:M45"/>
    <mergeCell ref="B48:N48"/>
    <mergeCell ref="G49:M49"/>
    <mergeCell ref="G50:M50"/>
  </mergeCells>
  <hyperlinks>
    <hyperlink ref="B5" r:id="rId1" location="'Synthèse'!A1" xr:uid="{00000000-0004-0000-0700-000000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showErrorMessage="1" error="Choisir une valeur dans la liste" xr:uid="{00000000-0002-0000-0700-000000000000}">
          <x14:formula1>
            <xm:f>Listes!$C$2:$C$5</xm:f>
          </x14:formula1>
          <x14:formula2>
            <xm:f>0</xm:f>
          </x14:formula2>
          <xm:sqref>C12 F50:F53 J42:J45</xm:sqref>
        </x14:dataValidation>
        <x14:dataValidation type="list" allowBlank="1" showErrorMessage="1" error="Choisir une valeur dans la liste" xr:uid="{00000000-0002-0000-0700-000001000000}">
          <x14:formula1>
            <xm:f>Listes!$G$2:$G$4</xm:f>
          </x14:formula1>
          <x14:formula2>
            <xm:f>0</xm:f>
          </x14:formula2>
          <xm:sqref>C14</xm:sqref>
        </x14:dataValidation>
        <x14:dataValidation type="list" allowBlank="1" showErrorMessage="1" error="Choisir une valeur dans la liste" xr:uid="{00000000-0002-0000-0700-000002000000}">
          <x14:formula1>
            <xm:f>Listes!$D$2:$D$4</xm:f>
          </x14:formula1>
          <x14:formula2>
            <xm:f>0</xm:f>
          </x14:formula2>
          <xm:sqref>D33:D36</xm:sqref>
        </x14:dataValidation>
        <x14:dataValidation type="list" allowBlank="1" showErrorMessage="1" error="Choisir une valeur dans la liste" xr:uid="{00000000-0002-0000-0700-000003000000}">
          <x14:formula1>
            <xm:f>Listes!$A$2:$A$10</xm:f>
          </x14:formula1>
          <x14:formula2>
            <xm:f>0</xm:f>
          </x14:formula2>
          <xm:sqref>D42:D45</xm:sqref>
        </x14:dataValidation>
        <x14:dataValidation type="list" allowBlank="1" showErrorMessage="1" error="Choisir une valeur dans la liste" xr:uid="{00000000-0002-0000-0700-000005000000}">
          <x14:formula1>
            <xm:f>Listes!$E$2:$E$4</xm:f>
          </x14:formula1>
          <x14:formula2>
            <xm:f>0</xm:f>
          </x14:formula2>
          <xm:sqref>D50:D53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8C9B0"/>
    <pageSetUpPr fitToPage="1"/>
  </sheetPr>
  <dimension ref="B2:N55"/>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6640625" defaultRowHeight="15" x14ac:dyDescent="0.2"/>
  <cols>
    <col min="1" max="1" width="3" customWidth="1"/>
    <col min="2" max="2" width="34" customWidth="1"/>
    <col min="3" max="3" width="20" customWidth="1"/>
    <col min="4" max="4" width="14" customWidth="1"/>
    <col min="5" max="5" width="10" customWidth="1"/>
    <col min="6" max="6" width="13" customWidth="1"/>
    <col min="7" max="7" width="15" customWidth="1"/>
    <col min="8" max="9" width="14" customWidth="1"/>
    <col min="10" max="13" width="15" customWidth="1"/>
    <col min="14" max="14" width="46" customWidth="1"/>
  </cols>
  <sheetData>
    <row r="2" spans="2:14" ht="34.5" customHeight="1" x14ac:dyDescent="0.2">
      <c r="B2" s="40" t="s">
        <v>651</v>
      </c>
      <c r="C2" s="40"/>
      <c r="D2" s="40"/>
      <c r="E2" s="40"/>
      <c r="F2" s="40"/>
      <c r="G2" s="40"/>
      <c r="H2" s="40"/>
      <c r="I2" s="40"/>
      <c r="J2" s="40"/>
      <c r="K2" s="40"/>
      <c r="L2" s="40"/>
      <c r="M2" s="40"/>
      <c r="N2" s="40"/>
    </row>
    <row r="3" spans="2:14" ht="19.5" customHeight="1" x14ac:dyDescent="0.2">
      <c r="B3" s="41" t="s">
        <v>652</v>
      </c>
      <c r="C3" s="41"/>
      <c r="D3" s="41"/>
      <c r="E3" s="41"/>
      <c r="F3" s="41"/>
      <c r="G3" s="41"/>
      <c r="H3" s="41"/>
      <c r="I3" s="41"/>
      <c r="J3" s="41"/>
      <c r="K3" s="41"/>
      <c r="L3" s="41"/>
      <c r="M3" s="41"/>
      <c r="N3" s="41"/>
    </row>
    <row r="4" spans="2:14" ht="18" customHeight="1" x14ac:dyDescent="0.2">
      <c r="B4" s="41" t="s">
        <v>378</v>
      </c>
      <c r="C4" s="41"/>
      <c r="D4" s="41"/>
      <c r="E4" s="41"/>
      <c r="F4" s="41"/>
      <c r="G4" s="41"/>
      <c r="H4" s="41"/>
      <c r="I4" s="41"/>
      <c r="J4" s="41"/>
      <c r="K4" s="41"/>
      <c r="L4" s="41"/>
      <c r="M4" s="41"/>
      <c r="N4" s="41"/>
    </row>
    <row r="5" spans="2:14" x14ac:dyDescent="0.2">
      <c r="B5" s="20" t="s">
        <v>102</v>
      </c>
    </row>
    <row r="7" spans="2:14" ht="25.5" customHeight="1" x14ac:dyDescent="0.2">
      <c r="B7" s="39" t="s">
        <v>379</v>
      </c>
      <c r="C7" s="39"/>
      <c r="D7" s="39"/>
      <c r="E7" s="39"/>
      <c r="F7" s="39"/>
      <c r="G7" s="39"/>
      <c r="H7" s="39"/>
      <c r="I7" s="39"/>
      <c r="J7" s="39"/>
      <c r="K7" s="39"/>
      <c r="L7" s="39"/>
      <c r="M7" s="39"/>
      <c r="N7" s="39"/>
    </row>
    <row r="8" spans="2:14" ht="18" customHeight="1" x14ac:dyDescent="0.2">
      <c r="B8" s="6" t="s">
        <v>380</v>
      </c>
      <c r="C8" s="38" t="s">
        <v>653</v>
      </c>
      <c r="D8" s="38"/>
      <c r="E8" s="38"/>
      <c r="F8" s="38"/>
      <c r="G8" s="38"/>
      <c r="H8" s="38"/>
      <c r="I8" s="38"/>
      <c r="J8" s="38"/>
      <c r="K8" s="38"/>
      <c r="L8" s="38"/>
      <c r="M8" s="38"/>
      <c r="N8" s="38"/>
    </row>
    <row r="9" spans="2:14" ht="30" customHeight="1" x14ac:dyDescent="0.2">
      <c r="B9" s="6" t="s">
        <v>382</v>
      </c>
      <c r="C9" s="38" t="s">
        <v>654</v>
      </c>
      <c r="D9" s="38"/>
      <c r="E9" s="38"/>
      <c r="F9" s="38"/>
      <c r="G9" s="38"/>
      <c r="H9" s="38"/>
      <c r="I9" s="38"/>
      <c r="J9" s="38"/>
      <c r="K9" s="38"/>
      <c r="L9" s="38"/>
      <c r="M9" s="38"/>
      <c r="N9" s="38"/>
    </row>
    <row r="10" spans="2:14" ht="18" customHeight="1" x14ac:dyDescent="0.2">
      <c r="B10" s="6" t="s">
        <v>384</v>
      </c>
      <c r="C10" s="48"/>
      <c r="D10" s="48"/>
      <c r="E10" s="48"/>
      <c r="F10" s="48"/>
      <c r="G10" s="48"/>
      <c r="H10" s="48"/>
      <c r="I10" s="48"/>
      <c r="J10" s="48"/>
      <c r="K10" s="48"/>
      <c r="L10" s="48"/>
      <c r="M10" s="48"/>
      <c r="N10" s="48"/>
    </row>
    <row r="11" spans="2:14" ht="18" customHeight="1" x14ac:dyDescent="0.2">
      <c r="B11" s="6" t="s">
        <v>385</v>
      </c>
      <c r="C11" s="48"/>
      <c r="D11" s="48"/>
      <c r="E11" s="48"/>
      <c r="F11" s="48"/>
      <c r="G11" s="48"/>
      <c r="H11" s="48"/>
      <c r="I11" s="48"/>
      <c r="J11" s="48"/>
      <c r="K11" s="48"/>
      <c r="L11" s="48"/>
      <c r="M11" s="48"/>
      <c r="N11" s="48"/>
    </row>
    <row r="12" spans="2:14" ht="18" customHeight="1" x14ac:dyDescent="0.2">
      <c r="B12" s="6" t="s">
        <v>386</v>
      </c>
      <c r="C12" s="38" t="s">
        <v>83</v>
      </c>
      <c r="D12" s="38"/>
      <c r="E12" s="38"/>
      <c r="F12" s="38"/>
      <c r="G12" s="38"/>
      <c r="H12" s="38"/>
      <c r="I12" s="38"/>
      <c r="J12" s="38"/>
      <c r="K12" s="38"/>
      <c r="L12" s="38"/>
      <c r="M12" s="38"/>
      <c r="N12" s="38"/>
    </row>
    <row r="13" spans="2:14" ht="18" customHeight="1" x14ac:dyDescent="0.2">
      <c r="B13" s="6" t="s">
        <v>387</v>
      </c>
      <c r="C13" s="48"/>
      <c r="D13" s="48"/>
      <c r="E13" s="48"/>
      <c r="F13" s="48"/>
      <c r="G13" s="48"/>
      <c r="H13" s="48"/>
      <c r="I13" s="48"/>
      <c r="J13" s="48"/>
      <c r="K13" s="48"/>
      <c r="L13" s="48"/>
      <c r="M13" s="48"/>
      <c r="N13" s="48"/>
    </row>
    <row r="14" spans="2:14" ht="18" customHeight="1" x14ac:dyDescent="0.2">
      <c r="B14" s="6" t="s">
        <v>388</v>
      </c>
      <c r="C14" s="48"/>
      <c r="D14" s="48"/>
      <c r="E14" s="48"/>
      <c r="F14" s="48"/>
      <c r="G14" s="48"/>
      <c r="H14" s="48"/>
      <c r="I14" s="48"/>
      <c r="J14" s="48"/>
      <c r="K14" s="48"/>
      <c r="L14" s="48"/>
      <c r="M14" s="48"/>
      <c r="N14" s="48"/>
    </row>
    <row r="15" spans="2:14" ht="18" customHeight="1" x14ac:dyDescent="0.2">
      <c r="B15" s="6" t="s">
        <v>389</v>
      </c>
      <c r="C15" s="48"/>
      <c r="D15" s="48"/>
      <c r="E15" s="48"/>
      <c r="F15" s="48"/>
      <c r="G15" s="48"/>
      <c r="H15" s="48"/>
      <c r="I15" s="48"/>
      <c r="J15" s="48"/>
      <c r="K15" s="48"/>
      <c r="L15" s="48"/>
      <c r="M15" s="48"/>
      <c r="N15" s="48"/>
    </row>
    <row r="16" spans="2:14" ht="18" customHeight="1" x14ac:dyDescent="0.2">
      <c r="B16" s="6" t="s">
        <v>390</v>
      </c>
      <c r="C16" s="49"/>
      <c r="D16" s="49"/>
      <c r="E16" s="49"/>
      <c r="F16" s="49"/>
      <c r="G16" s="49"/>
      <c r="H16" s="49"/>
      <c r="I16" s="49"/>
      <c r="J16" s="49"/>
      <c r="K16" s="49"/>
      <c r="L16" s="49"/>
      <c r="M16" s="49"/>
      <c r="N16" s="49"/>
    </row>
    <row r="17" spans="2:14" ht="18" customHeight="1" x14ac:dyDescent="0.2">
      <c r="B17" s="6" t="s">
        <v>391</v>
      </c>
      <c r="C17" s="49"/>
      <c r="D17" s="49"/>
      <c r="E17" s="49"/>
      <c r="F17" s="49"/>
      <c r="G17" s="49"/>
      <c r="H17" s="49"/>
      <c r="I17" s="49"/>
      <c r="J17" s="49"/>
      <c r="K17" s="49"/>
      <c r="L17" s="49"/>
      <c r="M17" s="49"/>
      <c r="N17" s="49"/>
    </row>
    <row r="18" spans="2:14" ht="30" customHeight="1" x14ac:dyDescent="0.2">
      <c r="B18" s="6" t="s">
        <v>392</v>
      </c>
      <c r="C18" s="38" t="s">
        <v>655</v>
      </c>
      <c r="D18" s="38"/>
      <c r="E18" s="38"/>
      <c r="F18" s="38"/>
      <c r="G18" s="38"/>
      <c r="H18" s="38"/>
      <c r="I18" s="38"/>
      <c r="J18" s="38"/>
      <c r="K18" s="38"/>
      <c r="L18" s="38"/>
      <c r="M18" s="38"/>
      <c r="N18" s="38"/>
    </row>
    <row r="20" spans="2:14" ht="25.5" customHeight="1" x14ac:dyDescent="0.2">
      <c r="B20" s="39" t="s">
        <v>656</v>
      </c>
      <c r="C20" s="39"/>
      <c r="D20" s="39"/>
      <c r="E20" s="39"/>
      <c r="F20" s="39"/>
      <c r="G20" s="39"/>
      <c r="H20" s="39"/>
      <c r="I20" s="39"/>
      <c r="J20" s="39"/>
      <c r="K20" s="39"/>
      <c r="L20" s="39"/>
      <c r="M20" s="39"/>
      <c r="N20" s="39"/>
    </row>
    <row r="21" spans="2:14" ht="30" customHeight="1" x14ac:dyDescent="0.2">
      <c r="B21" s="2" t="s">
        <v>395</v>
      </c>
      <c r="C21" s="46" t="s">
        <v>396</v>
      </c>
      <c r="D21" s="46"/>
      <c r="E21" s="2" t="s">
        <v>397</v>
      </c>
      <c r="F21" s="46" t="s">
        <v>398</v>
      </c>
      <c r="G21" s="46"/>
      <c r="H21" s="46"/>
      <c r="I21" s="46"/>
      <c r="J21" s="46"/>
      <c r="K21" s="46"/>
      <c r="L21" s="46"/>
      <c r="M21" s="46"/>
      <c r="N21" s="46"/>
    </row>
    <row r="22" spans="2:14" ht="21.75" customHeight="1" x14ac:dyDescent="0.2">
      <c r="B22" s="6" t="s">
        <v>657</v>
      </c>
      <c r="C22" s="47" t="s">
        <v>658</v>
      </c>
      <c r="D22" s="47"/>
      <c r="E22" s="21" t="s">
        <v>401</v>
      </c>
      <c r="F22" s="38" t="s">
        <v>659</v>
      </c>
      <c r="G22" s="38"/>
      <c r="H22" s="38"/>
      <c r="I22" s="38"/>
      <c r="J22" s="38"/>
      <c r="K22" s="38"/>
      <c r="L22" s="38"/>
      <c r="M22" s="38"/>
      <c r="N22" s="38"/>
    </row>
    <row r="23" spans="2:14" ht="21.75" customHeight="1" x14ac:dyDescent="0.2">
      <c r="B23" s="6" t="s">
        <v>660</v>
      </c>
      <c r="C23" s="47" t="s">
        <v>661</v>
      </c>
      <c r="D23" s="47"/>
      <c r="E23" s="21" t="s">
        <v>86</v>
      </c>
      <c r="F23" s="38" t="s">
        <v>662</v>
      </c>
      <c r="G23" s="38"/>
      <c r="H23" s="38"/>
      <c r="I23" s="38"/>
      <c r="J23" s="38"/>
      <c r="K23" s="38"/>
      <c r="L23" s="38"/>
      <c r="M23" s="38"/>
      <c r="N23" s="38"/>
    </row>
    <row r="24" spans="2:14" ht="21.75" customHeight="1" x14ac:dyDescent="0.2">
      <c r="B24" s="6" t="s">
        <v>663</v>
      </c>
      <c r="C24" s="47" t="s">
        <v>664</v>
      </c>
      <c r="D24" s="47"/>
      <c r="E24" s="21" t="s">
        <v>86</v>
      </c>
      <c r="F24" s="38"/>
      <c r="G24" s="38"/>
      <c r="H24" s="38"/>
      <c r="I24" s="38"/>
      <c r="J24" s="38"/>
      <c r="K24" s="38"/>
      <c r="L24" s="38"/>
      <c r="M24" s="38"/>
      <c r="N24" s="38"/>
    </row>
    <row r="25" spans="2:14" ht="21.75" customHeight="1" x14ac:dyDescent="0.2">
      <c r="B25" s="6" t="s">
        <v>406</v>
      </c>
      <c r="C25" s="48" t="s">
        <v>154</v>
      </c>
      <c r="D25" s="48"/>
      <c r="E25" s="21" t="s">
        <v>407</v>
      </c>
      <c r="F25" s="38"/>
      <c r="G25" s="38"/>
      <c r="H25" s="38"/>
      <c r="I25" s="38"/>
      <c r="J25" s="38"/>
      <c r="K25" s="38"/>
      <c r="L25" s="38"/>
      <c r="M25" s="38"/>
      <c r="N25" s="38"/>
    </row>
    <row r="26" spans="2:14" ht="21.75" customHeight="1" x14ac:dyDescent="0.2">
      <c r="B26" s="6" t="s">
        <v>408</v>
      </c>
      <c r="C26" s="48" t="s">
        <v>154</v>
      </c>
      <c r="D26" s="48"/>
      <c r="E26" s="21" t="s">
        <v>407</v>
      </c>
      <c r="F26" s="38" t="s">
        <v>665</v>
      </c>
      <c r="G26" s="38"/>
      <c r="H26" s="38"/>
      <c r="I26" s="38"/>
      <c r="J26" s="38"/>
      <c r="K26" s="38"/>
      <c r="L26" s="38"/>
      <c r="M26" s="38"/>
      <c r="N26" s="38"/>
    </row>
    <row r="27" spans="2:14" ht="15" customHeight="1" x14ac:dyDescent="0.2">
      <c r="B27" s="50" t="s">
        <v>666</v>
      </c>
      <c r="C27" s="50"/>
      <c r="D27" s="50"/>
      <c r="E27" s="50"/>
      <c r="F27" s="50"/>
      <c r="G27" s="50"/>
      <c r="H27" s="50"/>
      <c r="I27" s="50"/>
      <c r="J27" s="50"/>
      <c r="K27" s="50"/>
      <c r="L27" s="50"/>
      <c r="M27" s="50"/>
      <c r="N27" s="50"/>
    </row>
    <row r="29" spans="2:14" ht="25.5" customHeight="1" x14ac:dyDescent="0.2">
      <c r="B29" s="39" t="s">
        <v>409</v>
      </c>
      <c r="C29" s="39"/>
      <c r="D29" s="39"/>
      <c r="E29" s="39"/>
      <c r="F29" s="39"/>
      <c r="G29" s="39"/>
      <c r="H29" s="39"/>
      <c r="I29" s="39"/>
      <c r="J29" s="39"/>
      <c r="K29" s="39"/>
      <c r="L29" s="39"/>
      <c r="M29" s="39"/>
      <c r="N29" s="39"/>
    </row>
    <row r="30" spans="2:14" ht="30" customHeight="1" x14ac:dyDescent="0.2">
      <c r="B30" s="2" t="s">
        <v>396</v>
      </c>
      <c r="C30" s="46" t="s">
        <v>395</v>
      </c>
      <c r="D30" s="46"/>
      <c r="E30" s="46" t="s">
        <v>410</v>
      </c>
      <c r="F30" s="46"/>
      <c r="G30" s="46" t="s">
        <v>411</v>
      </c>
      <c r="H30" s="46"/>
      <c r="I30" s="46" t="s">
        <v>412</v>
      </c>
      <c r="J30" s="46"/>
      <c r="K30" s="46"/>
      <c r="L30" s="46" t="s">
        <v>353</v>
      </c>
      <c r="M30" s="46"/>
      <c r="N30" s="46"/>
    </row>
    <row r="31" spans="2:14" ht="25.5" customHeight="1" x14ac:dyDescent="0.2">
      <c r="B31" s="3" t="s">
        <v>413</v>
      </c>
      <c r="C31" s="38"/>
      <c r="D31" s="38"/>
      <c r="E31" s="38"/>
      <c r="F31" s="38"/>
      <c r="G31" s="38"/>
      <c r="H31" s="38"/>
      <c r="I31" s="38"/>
      <c r="J31" s="38"/>
      <c r="K31" s="38"/>
      <c r="L31" s="38"/>
      <c r="M31" s="38"/>
      <c r="N31" s="38"/>
    </row>
    <row r="33" spans="2:14" ht="25.5" customHeight="1" x14ac:dyDescent="0.2">
      <c r="B33" s="39" t="s">
        <v>414</v>
      </c>
      <c r="C33" s="39"/>
      <c r="D33" s="39"/>
      <c r="E33" s="39"/>
      <c r="F33" s="39"/>
      <c r="G33" s="39"/>
      <c r="H33" s="39"/>
      <c r="I33" s="39"/>
      <c r="J33" s="39"/>
      <c r="K33" s="39"/>
      <c r="L33" s="39"/>
      <c r="M33" s="39"/>
      <c r="N33" s="39"/>
    </row>
    <row r="34" spans="2:14" ht="30" customHeight="1" x14ac:dyDescent="0.2">
      <c r="B34" s="2" t="s">
        <v>415</v>
      </c>
      <c r="C34" s="2" t="s">
        <v>416</v>
      </c>
      <c r="D34" s="2" t="s">
        <v>109</v>
      </c>
      <c r="E34" s="2" t="s">
        <v>417</v>
      </c>
      <c r="F34" s="2" t="s">
        <v>418</v>
      </c>
      <c r="G34" s="2" t="s">
        <v>419</v>
      </c>
      <c r="H34" s="2" t="s">
        <v>420</v>
      </c>
      <c r="I34" s="2" t="s">
        <v>37</v>
      </c>
      <c r="J34" s="2" t="s">
        <v>421</v>
      </c>
      <c r="K34" s="2" t="s">
        <v>422</v>
      </c>
      <c r="L34" s="2" t="s">
        <v>423</v>
      </c>
      <c r="M34" s="2" t="s">
        <v>55</v>
      </c>
      <c r="N34" s="2" t="s">
        <v>116</v>
      </c>
    </row>
    <row r="35" spans="2:14" ht="42" customHeight="1" x14ac:dyDescent="0.2">
      <c r="B35" s="5" t="s">
        <v>358</v>
      </c>
      <c r="C35" s="5" t="s">
        <v>186</v>
      </c>
      <c r="D35" s="21" t="s">
        <v>152</v>
      </c>
      <c r="E35" s="29">
        <v>2025</v>
      </c>
      <c r="F35" s="24">
        <v>45890</v>
      </c>
      <c r="G35" s="12">
        <v>7383000</v>
      </c>
      <c r="H35" s="12">
        <v>4578000</v>
      </c>
      <c r="I35" s="12">
        <v>655000</v>
      </c>
      <c r="J35" s="12">
        <f>IF(G35="","",G35-N(I35))</f>
        <v>6728000</v>
      </c>
      <c r="K35" s="12">
        <f>IF(G35="","",J35-N(H35))</f>
        <v>2150000</v>
      </c>
      <c r="L35" s="12">
        <v>7383000</v>
      </c>
      <c r="M35" s="12">
        <f>IF(G35="","",G35-N(L35))</f>
        <v>0</v>
      </c>
      <c r="N35" s="5" t="s">
        <v>667</v>
      </c>
    </row>
    <row r="36" spans="2:14" ht="18" customHeight="1" x14ac:dyDescent="0.2">
      <c r="B36" s="5"/>
      <c r="C36" s="5"/>
      <c r="D36" s="21"/>
      <c r="E36" s="29"/>
      <c r="F36" s="24"/>
      <c r="G36" s="12"/>
      <c r="H36" s="12"/>
      <c r="I36" s="12"/>
      <c r="J36" s="12" t="str">
        <f>IF(G36="","",G36-N(I36))</f>
        <v/>
      </c>
      <c r="K36" s="12" t="str">
        <f>IF(G36="","",J36-N(H36))</f>
        <v/>
      </c>
      <c r="L36" s="12"/>
      <c r="M36" s="12" t="str">
        <f>IF(G36="","",G36-N(L36))</f>
        <v/>
      </c>
      <c r="N36" s="5"/>
    </row>
    <row r="37" spans="2:14" ht="18" customHeight="1" x14ac:dyDescent="0.2">
      <c r="B37" s="5"/>
      <c r="C37" s="5"/>
      <c r="D37" s="21"/>
      <c r="E37" s="29"/>
      <c r="F37" s="24"/>
      <c r="G37" s="12"/>
      <c r="H37" s="12"/>
      <c r="I37" s="12"/>
      <c r="J37" s="12" t="str">
        <f>IF(G37="","",G37-N(I37))</f>
        <v/>
      </c>
      <c r="K37" s="12" t="str">
        <f>IF(G37="","",J37-N(H37))</f>
        <v/>
      </c>
      <c r="L37" s="12"/>
      <c r="M37" s="12" t="str">
        <f>IF(G37="","",G37-N(L37))</f>
        <v/>
      </c>
      <c r="N37" s="5"/>
    </row>
    <row r="38" spans="2:14" ht="18" customHeight="1" x14ac:dyDescent="0.2">
      <c r="B38" s="5"/>
      <c r="C38" s="5"/>
      <c r="D38" s="21"/>
      <c r="E38" s="29"/>
      <c r="F38" s="24"/>
      <c r="G38" s="12"/>
      <c r="H38" s="12"/>
      <c r="I38" s="12"/>
      <c r="J38" s="12" t="str">
        <f>IF(G38="","",G38-N(I38))</f>
        <v/>
      </c>
      <c r="K38" s="12" t="str">
        <f>IF(G38="","",J38-N(H38))</f>
        <v/>
      </c>
      <c r="L38" s="12"/>
      <c r="M38" s="12" t="str">
        <f>IF(G38="","",G38-N(L38))</f>
        <v/>
      </c>
      <c r="N38" s="5"/>
    </row>
    <row r="39" spans="2:14" ht="19.5" customHeight="1" x14ac:dyDescent="0.2">
      <c r="B39" s="4" t="s">
        <v>432</v>
      </c>
      <c r="C39" s="17"/>
      <c r="D39" s="17"/>
      <c r="E39" s="17"/>
      <c r="F39" s="17"/>
      <c r="G39" s="15">
        <f t="shared" ref="G39:M39" si="0">SUM(G35:G38)</f>
        <v>7383000</v>
      </c>
      <c r="H39" s="15">
        <f t="shared" si="0"/>
        <v>4578000</v>
      </c>
      <c r="I39" s="15">
        <f t="shared" si="0"/>
        <v>655000</v>
      </c>
      <c r="J39" s="15">
        <f t="shared" si="0"/>
        <v>6728000</v>
      </c>
      <c r="K39" s="15">
        <f t="shared" si="0"/>
        <v>2150000</v>
      </c>
      <c r="L39" s="15">
        <f t="shared" si="0"/>
        <v>7383000</v>
      </c>
      <c r="M39" s="15">
        <f t="shared" si="0"/>
        <v>0</v>
      </c>
      <c r="N39" s="17"/>
    </row>
    <row r="40" spans="2:14" ht="19.5" customHeight="1" x14ac:dyDescent="0.2">
      <c r="B40" s="4" t="s">
        <v>433</v>
      </c>
      <c r="C40" s="17"/>
      <c r="D40" s="17"/>
      <c r="E40" s="17"/>
      <c r="F40" s="17"/>
      <c r="G40" s="15">
        <f>SUMIFS(G35:G38,$E$35:$E$38,2026)</f>
        <v>0</v>
      </c>
      <c r="H40" s="17"/>
      <c r="I40" s="15">
        <f>SUMIFS(I35:I38,$E$35:$E$38,2026)</f>
        <v>0</v>
      </c>
      <c r="J40" s="17"/>
      <c r="K40" s="15">
        <f>SUMIFS(K35:K38,$E$35:$E$38,2026)</f>
        <v>0</v>
      </c>
      <c r="L40" s="15">
        <f>SUMIFS(L35:L38,$E$35:$E$38,2026)</f>
        <v>0</v>
      </c>
      <c r="M40" s="15">
        <f>SUMIFS(M35:M38,$E$35:$E$38,2026)</f>
        <v>0</v>
      </c>
      <c r="N40" s="17"/>
    </row>
    <row r="42" spans="2:14" ht="25.5" customHeight="1" x14ac:dyDescent="0.2">
      <c r="B42" s="39" t="s">
        <v>434</v>
      </c>
      <c r="C42" s="39"/>
      <c r="D42" s="39"/>
      <c r="E42" s="39"/>
      <c r="F42" s="39"/>
      <c r="G42" s="39"/>
      <c r="H42" s="39"/>
      <c r="I42" s="39"/>
      <c r="J42" s="39"/>
      <c r="K42" s="39"/>
      <c r="L42" s="39"/>
      <c r="M42" s="39"/>
      <c r="N42" s="39"/>
    </row>
    <row r="43" spans="2:14" ht="30" customHeight="1" x14ac:dyDescent="0.2">
      <c r="B43" s="2" t="s">
        <v>435</v>
      </c>
      <c r="C43" s="2" t="s">
        <v>416</v>
      </c>
      <c r="D43" s="2" t="s">
        <v>70</v>
      </c>
      <c r="E43" s="2" t="s">
        <v>436</v>
      </c>
      <c r="F43" s="2" t="s">
        <v>437</v>
      </c>
      <c r="G43" s="2" t="s">
        <v>35</v>
      </c>
      <c r="H43" s="2" t="s">
        <v>110</v>
      </c>
      <c r="I43" s="2" t="s">
        <v>36</v>
      </c>
      <c r="J43" s="2" t="s">
        <v>438</v>
      </c>
      <c r="K43" s="46" t="s">
        <v>114</v>
      </c>
      <c r="L43" s="46"/>
      <c r="M43" s="46"/>
      <c r="N43" s="2" t="s">
        <v>116</v>
      </c>
    </row>
    <row r="44" spans="2:14" ht="51.75" customHeight="1" x14ac:dyDescent="0.2">
      <c r="B44" s="5" t="s">
        <v>185</v>
      </c>
      <c r="C44" s="5" t="s">
        <v>186</v>
      </c>
      <c r="D44" s="21" t="s">
        <v>74</v>
      </c>
      <c r="E44" s="24"/>
      <c r="F44" s="24">
        <v>46309</v>
      </c>
      <c r="G44" s="27"/>
      <c r="H44" s="22"/>
      <c r="I44" s="12" t="str">
        <f>IF(OR(G44="",H44=""),"",G44*H44)</f>
        <v/>
      </c>
      <c r="J44" s="5" t="s">
        <v>83</v>
      </c>
      <c r="K44" s="38" t="s">
        <v>668</v>
      </c>
      <c r="L44" s="38"/>
      <c r="M44" s="38"/>
      <c r="N44" s="5" t="s">
        <v>669</v>
      </c>
    </row>
    <row r="45" spans="2:14" ht="18" customHeight="1" x14ac:dyDescent="0.2">
      <c r="B45" s="5"/>
      <c r="C45" s="5"/>
      <c r="D45" s="21"/>
      <c r="E45" s="24"/>
      <c r="F45" s="24"/>
      <c r="G45" s="12"/>
      <c r="H45" s="22"/>
      <c r="I45" s="12" t="str">
        <f>IF(OR(G45="",H45=""),"",G45*H45)</f>
        <v/>
      </c>
      <c r="J45" s="5"/>
      <c r="K45" s="38"/>
      <c r="L45" s="38"/>
      <c r="M45" s="38"/>
      <c r="N45" s="5"/>
    </row>
    <row r="46" spans="2:14" ht="18" customHeight="1" x14ac:dyDescent="0.2">
      <c r="B46" s="5"/>
      <c r="C46" s="5"/>
      <c r="D46" s="21"/>
      <c r="E46" s="24"/>
      <c r="F46" s="24"/>
      <c r="G46" s="12"/>
      <c r="H46" s="22"/>
      <c r="I46" s="12" t="str">
        <f>IF(OR(G46="",H46=""),"",G46*H46)</f>
        <v/>
      </c>
      <c r="J46" s="5"/>
      <c r="K46" s="38"/>
      <c r="L46" s="38"/>
      <c r="M46" s="38"/>
      <c r="N46" s="5"/>
    </row>
    <row r="47" spans="2:14" ht="18" customHeight="1" x14ac:dyDescent="0.2">
      <c r="B47" s="5"/>
      <c r="C47" s="5"/>
      <c r="D47" s="21"/>
      <c r="E47" s="24"/>
      <c r="F47" s="24"/>
      <c r="G47" s="12"/>
      <c r="H47" s="22"/>
      <c r="I47" s="12" t="str">
        <f>IF(OR(G47="",H47=""),"",G47*H47)</f>
        <v/>
      </c>
      <c r="J47" s="5"/>
      <c r="K47" s="38"/>
      <c r="L47" s="38"/>
      <c r="M47" s="38"/>
      <c r="N47" s="5"/>
    </row>
    <row r="48" spans="2:14" ht="19.5" customHeight="1" x14ac:dyDescent="0.2">
      <c r="B48" s="4" t="s">
        <v>441</v>
      </c>
      <c r="C48" s="17"/>
      <c r="D48" s="17"/>
      <c r="E48" s="17"/>
      <c r="F48" s="17"/>
      <c r="G48" s="15">
        <f>SUM(G44:G47)</f>
        <v>0</v>
      </c>
      <c r="H48" s="17"/>
      <c r="I48" s="15">
        <f>SUM(I44:I47)</f>
        <v>0</v>
      </c>
      <c r="J48" s="17"/>
      <c r="K48" s="17"/>
      <c r="L48" s="17"/>
      <c r="M48" s="17"/>
      <c r="N48" s="17"/>
    </row>
    <row r="50" spans="2:14" ht="25.5" customHeight="1" x14ac:dyDescent="0.2">
      <c r="B50" s="39" t="s">
        <v>442</v>
      </c>
      <c r="C50" s="39"/>
      <c r="D50" s="39"/>
      <c r="E50" s="39"/>
      <c r="F50" s="39"/>
      <c r="G50" s="39"/>
      <c r="H50" s="39"/>
      <c r="I50" s="39"/>
      <c r="J50" s="39"/>
      <c r="K50" s="39"/>
      <c r="L50" s="39"/>
      <c r="M50" s="39"/>
      <c r="N50" s="39"/>
    </row>
    <row r="51" spans="2:14" ht="30" customHeight="1" x14ac:dyDescent="0.2">
      <c r="B51" s="2" t="s">
        <v>443</v>
      </c>
      <c r="C51" s="2" t="s">
        <v>107</v>
      </c>
      <c r="D51" s="2" t="s">
        <v>113</v>
      </c>
      <c r="E51" s="2" t="s">
        <v>115</v>
      </c>
      <c r="F51" s="2" t="s">
        <v>438</v>
      </c>
      <c r="G51" s="46" t="s">
        <v>444</v>
      </c>
      <c r="H51" s="46"/>
      <c r="I51" s="46"/>
      <c r="J51" s="46"/>
      <c r="K51" s="46"/>
      <c r="L51" s="46"/>
      <c r="M51" s="46"/>
      <c r="N51" s="2" t="s">
        <v>116</v>
      </c>
    </row>
    <row r="52" spans="2:14" ht="36" customHeight="1" x14ac:dyDescent="0.2">
      <c r="B52" s="5" t="s">
        <v>670</v>
      </c>
      <c r="C52" s="5" t="s">
        <v>186</v>
      </c>
      <c r="D52" s="21" t="s">
        <v>146</v>
      </c>
      <c r="E52" s="24"/>
      <c r="F52" s="5" t="s">
        <v>83</v>
      </c>
      <c r="G52" s="38" t="s">
        <v>671</v>
      </c>
      <c r="H52" s="38"/>
      <c r="I52" s="38"/>
      <c r="J52" s="38"/>
      <c r="K52" s="38"/>
      <c r="L52" s="38"/>
      <c r="M52" s="38"/>
      <c r="N52" s="5"/>
    </row>
    <row r="53" spans="2:14" ht="18" customHeight="1" x14ac:dyDescent="0.2">
      <c r="B53" s="5"/>
      <c r="C53" s="5"/>
      <c r="D53" s="21"/>
      <c r="E53" s="24"/>
      <c r="F53" s="5"/>
      <c r="G53" s="38"/>
      <c r="H53" s="38"/>
      <c r="I53" s="38"/>
      <c r="J53" s="38"/>
      <c r="K53" s="38"/>
      <c r="L53" s="38"/>
      <c r="M53" s="38"/>
      <c r="N53" s="5"/>
    </row>
    <row r="54" spans="2:14" ht="18" customHeight="1" x14ac:dyDescent="0.2">
      <c r="B54" s="5"/>
      <c r="C54" s="5"/>
      <c r="D54" s="21"/>
      <c r="E54" s="24"/>
      <c r="F54" s="5"/>
      <c r="G54" s="38"/>
      <c r="H54" s="38"/>
      <c r="I54" s="38"/>
      <c r="J54" s="38"/>
      <c r="K54" s="38"/>
      <c r="L54" s="38"/>
      <c r="M54" s="38"/>
      <c r="N54" s="5"/>
    </row>
    <row r="55" spans="2:14" ht="18" customHeight="1" x14ac:dyDescent="0.2">
      <c r="B55" s="5"/>
      <c r="C55" s="5"/>
      <c r="D55" s="21"/>
      <c r="E55" s="24"/>
      <c r="F55" s="5"/>
      <c r="G55" s="38"/>
      <c r="H55" s="38"/>
      <c r="I55" s="38"/>
      <c r="J55" s="38"/>
      <c r="K55" s="38"/>
      <c r="L55" s="38"/>
      <c r="M55" s="38"/>
      <c r="N55" s="5"/>
    </row>
  </sheetData>
  <mergeCells count="53">
    <mergeCell ref="B2:N2"/>
    <mergeCell ref="B3:N3"/>
    <mergeCell ref="B4:N4"/>
    <mergeCell ref="B7:N7"/>
    <mergeCell ref="C8:N8"/>
    <mergeCell ref="C9:N9"/>
    <mergeCell ref="C10:N10"/>
    <mergeCell ref="C11:N11"/>
    <mergeCell ref="C12:N12"/>
    <mergeCell ref="C13:N13"/>
    <mergeCell ref="C14:N14"/>
    <mergeCell ref="C15:N15"/>
    <mergeCell ref="C16:N16"/>
    <mergeCell ref="C17:N17"/>
    <mergeCell ref="C18:N18"/>
    <mergeCell ref="B20:N20"/>
    <mergeCell ref="C21:D21"/>
    <mergeCell ref="F21:N21"/>
    <mergeCell ref="C22:D22"/>
    <mergeCell ref="F22:N22"/>
    <mergeCell ref="C23:D23"/>
    <mergeCell ref="F23:N23"/>
    <mergeCell ref="C24:D24"/>
    <mergeCell ref="F24:N24"/>
    <mergeCell ref="C25:D25"/>
    <mergeCell ref="F25:N25"/>
    <mergeCell ref="C26:D26"/>
    <mergeCell ref="F26:N26"/>
    <mergeCell ref="B27:N27"/>
    <mergeCell ref="B29:N29"/>
    <mergeCell ref="C30:D30"/>
    <mergeCell ref="E30:F30"/>
    <mergeCell ref="G30:H30"/>
    <mergeCell ref="I30:K30"/>
    <mergeCell ref="L30:N30"/>
    <mergeCell ref="C31:D31"/>
    <mergeCell ref="E31:F31"/>
    <mergeCell ref="G31:H31"/>
    <mergeCell ref="I31:K31"/>
    <mergeCell ref="L31:N31"/>
    <mergeCell ref="B33:N33"/>
    <mergeCell ref="B42:N42"/>
    <mergeCell ref="K43:M43"/>
    <mergeCell ref="K44:M44"/>
    <mergeCell ref="K45:M45"/>
    <mergeCell ref="G53:M53"/>
    <mergeCell ref="G54:M54"/>
    <mergeCell ref="G55:M55"/>
    <mergeCell ref="K46:M46"/>
    <mergeCell ref="K47:M47"/>
    <mergeCell ref="B50:N50"/>
    <mergeCell ref="G51:M51"/>
    <mergeCell ref="G52:M52"/>
  </mergeCells>
  <conditionalFormatting sqref="E22:E27">
    <cfRule type="expression" dxfId="13" priority="2">
      <formula>$E22="Confirmé"</formula>
    </cfRule>
    <cfRule type="expression" dxfId="12" priority="3">
      <formula>$E22="À confirmer"</formula>
    </cfRule>
    <cfRule type="expression" dxfId="11" priority="4">
      <formula>$E22="Non trouvé"</formula>
    </cfRule>
  </conditionalFormatting>
  <hyperlinks>
    <hyperlink ref="B5" r:id="rId1" location="'Synthèse'!A1" xr:uid="{00000000-0004-0000-0800-000000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showErrorMessage="1" error="Choisir une valeur dans la liste" xr:uid="{00000000-0002-0000-0800-000000000000}">
          <x14:formula1>
            <xm:f>Listes!$C$2:$C$5</xm:f>
          </x14:formula1>
          <x14:formula2>
            <xm:f>0</xm:f>
          </x14:formula2>
          <xm:sqref>C12 F52:F55 J44:J47</xm:sqref>
        </x14:dataValidation>
        <x14:dataValidation type="list" allowBlank="1" showErrorMessage="1" error="Choisir une valeur dans la liste" xr:uid="{00000000-0002-0000-0800-000001000000}">
          <x14:formula1>
            <xm:f>Listes!$G$2:$G$4</xm:f>
          </x14:formula1>
          <x14:formula2>
            <xm:f>0</xm:f>
          </x14:formula2>
          <xm:sqref>C14</xm:sqref>
        </x14:dataValidation>
        <x14:dataValidation type="list" allowBlank="1" showErrorMessage="1" error="Choisir une valeur dans la liste" xr:uid="{00000000-0002-0000-0800-000002000000}">
          <x14:formula1>
            <xm:f>Listes!$D$2:$D$4</xm:f>
          </x14:formula1>
          <x14:formula2>
            <xm:f>0</xm:f>
          </x14:formula2>
          <xm:sqref>D35:D38</xm:sqref>
        </x14:dataValidation>
        <x14:dataValidation type="list" allowBlank="1" showErrorMessage="1" error="Choisir une valeur dans la liste" xr:uid="{00000000-0002-0000-0800-000003000000}">
          <x14:formula1>
            <xm:f>Listes!$A$2:$A$10</xm:f>
          </x14:formula1>
          <x14:formula2>
            <xm:f>0</xm:f>
          </x14:formula2>
          <xm:sqref>D44:D47</xm:sqref>
        </x14:dataValidation>
        <x14:dataValidation type="list" allowBlank="1" showErrorMessage="1" error="Choisir une valeur dans la liste" xr:uid="{00000000-0002-0000-0800-000005000000}">
          <x14:formula1>
            <xm:f>Listes!$E$2:$E$4</xm:f>
          </x14:formula1>
          <x14:formula2>
            <xm:f>0</xm:f>
          </x14:formula2>
          <xm:sqref>D52:D55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5B041"/>
    <pageSetUpPr fitToPage="1"/>
  </sheetPr>
  <dimension ref="B2:O21"/>
  <sheetViews>
    <sheetView showGridLines="0" zoomScaleNormal="100" workbookViewId="0">
      <pane xSplit="3" ySplit="8" topLeftCell="D9" activePane="bottomRight" state="frozen"/>
      <selection pane="topRight" activeCell="D1" sqref="D1"/>
      <selection pane="bottomLeft" activeCell="A9" sqref="A9"/>
      <selection pane="bottomRight"/>
    </sheetView>
  </sheetViews>
  <sheetFormatPr baseColWidth="10" defaultColWidth="8.6640625" defaultRowHeight="15" x14ac:dyDescent="0.2"/>
  <cols>
    <col min="1" max="1" width="3" customWidth="1"/>
    <col min="2" max="2" width="6" customWidth="1"/>
    <col min="3" max="3" width="28" customWidth="1"/>
    <col min="4" max="4" width="32" customWidth="1"/>
    <col min="5" max="5" width="14" customWidth="1"/>
    <col min="6" max="7" width="13" customWidth="1"/>
    <col min="8" max="8" width="10" customWidth="1"/>
    <col min="9" max="11" width="16" customWidth="1"/>
    <col min="12" max="12" width="32" customWidth="1"/>
    <col min="13" max="13" width="14" customWidth="1"/>
    <col min="14" max="14" width="15" customWidth="1"/>
    <col min="15" max="15" width="48" customWidth="1"/>
  </cols>
  <sheetData>
    <row r="2" spans="2:15" ht="34.5" customHeight="1" x14ac:dyDescent="0.2">
      <c r="B2" s="40" t="s">
        <v>672</v>
      </c>
      <c r="C2" s="40"/>
      <c r="D2" s="40"/>
      <c r="E2" s="40"/>
      <c r="F2" s="40"/>
      <c r="G2" s="40"/>
      <c r="H2" s="40"/>
      <c r="I2" s="40"/>
      <c r="J2" s="40"/>
      <c r="K2" s="40"/>
      <c r="L2" s="40"/>
      <c r="M2" s="40"/>
      <c r="N2" s="40"/>
      <c r="O2" s="40"/>
    </row>
    <row r="3" spans="2:15" ht="19.5" customHeight="1" x14ac:dyDescent="0.2">
      <c r="B3" s="41" t="s">
        <v>673</v>
      </c>
      <c r="C3" s="41"/>
      <c r="D3" s="41"/>
      <c r="E3" s="41"/>
      <c r="F3" s="41"/>
      <c r="G3" s="41"/>
      <c r="H3" s="41"/>
      <c r="I3" s="41"/>
      <c r="J3" s="41"/>
      <c r="K3" s="41"/>
      <c r="L3" s="41"/>
      <c r="M3" s="41"/>
      <c r="N3" s="41"/>
      <c r="O3" s="41"/>
    </row>
    <row r="4" spans="2:15" ht="18" customHeight="1" x14ac:dyDescent="0.2">
      <c r="B4" s="41" t="s">
        <v>674</v>
      </c>
      <c r="C4" s="41"/>
      <c r="D4" s="41"/>
      <c r="E4" s="41"/>
      <c r="F4" s="41"/>
      <c r="G4" s="41"/>
      <c r="H4" s="41"/>
      <c r="I4" s="41"/>
      <c r="J4" s="41"/>
      <c r="K4" s="41"/>
      <c r="L4" s="41"/>
      <c r="M4" s="41"/>
      <c r="N4" s="41"/>
      <c r="O4" s="41"/>
    </row>
    <row r="5" spans="2:15" x14ac:dyDescent="0.2">
      <c r="B5" s="20" t="s">
        <v>102</v>
      </c>
    </row>
    <row r="7" spans="2:15" ht="25.5" customHeight="1" x14ac:dyDescent="0.2">
      <c r="B7" s="39" t="s">
        <v>675</v>
      </c>
      <c r="C7" s="39"/>
      <c r="D7" s="39"/>
      <c r="E7" s="39"/>
      <c r="F7" s="39"/>
      <c r="G7" s="39"/>
      <c r="H7" s="39"/>
      <c r="I7" s="39"/>
      <c r="J7" s="39"/>
      <c r="K7" s="39"/>
      <c r="L7" s="39"/>
      <c r="M7" s="39"/>
      <c r="N7" s="39"/>
      <c r="O7" s="39"/>
    </row>
    <row r="8" spans="2:15" ht="30" customHeight="1" x14ac:dyDescent="0.2">
      <c r="B8" s="2" t="s">
        <v>104</v>
      </c>
      <c r="C8" s="2" t="s">
        <v>676</v>
      </c>
      <c r="D8" s="2" t="s">
        <v>677</v>
      </c>
      <c r="E8" s="2" t="s">
        <v>678</v>
      </c>
      <c r="F8" s="2" t="s">
        <v>679</v>
      </c>
      <c r="G8" s="2" t="s">
        <v>680</v>
      </c>
      <c r="H8" s="2" t="s">
        <v>345</v>
      </c>
      <c r="I8" s="2" t="s">
        <v>681</v>
      </c>
      <c r="J8" s="2" t="s">
        <v>682</v>
      </c>
      <c r="K8" s="2" t="s">
        <v>683</v>
      </c>
      <c r="L8" s="2" t="s">
        <v>684</v>
      </c>
      <c r="M8" s="2" t="s">
        <v>685</v>
      </c>
      <c r="N8" s="2" t="s">
        <v>438</v>
      </c>
      <c r="O8" s="2" t="s">
        <v>116</v>
      </c>
    </row>
    <row r="9" spans="2:15" ht="48" customHeight="1" x14ac:dyDescent="0.2">
      <c r="B9" s="21">
        <v>1</v>
      </c>
      <c r="C9" s="1" t="s">
        <v>686</v>
      </c>
      <c r="D9" s="5" t="s">
        <v>687</v>
      </c>
      <c r="E9" s="5"/>
      <c r="F9" s="24"/>
      <c r="G9" s="31"/>
      <c r="H9" s="29" t="str">
        <f t="shared" ref="H9:H20" ca="1" si="0">IF(G9="","",G9-TODAY())</f>
        <v/>
      </c>
      <c r="I9" s="27"/>
      <c r="J9" s="5" t="s">
        <v>688</v>
      </c>
      <c r="K9" s="5" t="s">
        <v>689</v>
      </c>
      <c r="L9" s="5" t="s">
        <v>690</v>
      </c>
      <c r="M9" s="21" t="s">
        <v>691</v>
      </c>
      <c r="N9" s="5" t="s">
        <v>86</v>
      </c>
      <c r="O9" s="5" t="s">
        <v>692</v>
      </c>
    </row>
    <row r="10" spans="2:15" ht="48" customHeight="1" x14ac:dyDescent="0.2">
      <c r="B10" s="21">
        <v>2</v>
      </c>
      <c r="C10" s="1" t="s">
        <v>693</v>
      </c>
      <c r="D10" s="5" t="s">
        <v>276</v>
      </c>
      <c r="E10" s="5"/>
      <c r="F10" s="24"/>
      <c r="G10" s="31"/>
      <c r="H10" s="29" t="str">
        <f t="shared" ca="1" si="0"/>
        <v/>
      </c>
      <c r="I10" s="27"/>
      <c r="J10" s="5"/>
      <c r="K10" s="5"/>
      <c r="L10" s="5"/>
      <c r="M10" s="21" t="s">
        <v>694</v>
      </c>
      <c r="N10" s="5" t="s">
        <v>83</v>
      </c>
      <c r="O10" s="5" t="s">
        <v>695</v>
      </c>
    </row>
    <row r="11" spans="2:15" ht="19.5" customHeight="1" x14ac:dyDescent="0.2">
      <c r="B11" s="21" t="str">
        <f t="shared" ref="B11:B20" si="1">IF(C11="","",ROW()-8)</f>
        <v/>
      </c>
      <c r="C11" s="1"/>
      <c r="D11" s="5"/>
      <c r="E11" s="5"/>
      <c r="F11" s="24"/>
      <c r="G11" s="24"/>
      <c r="H11" s="29" t="str">
        <f t="shared" ca="1" si="0"/>
        <v/>
      </c>
      <c r="I11" s="12"/>
      <c r="J11" s="5"/>
      <c r="K11" s="5"/>
      <c r="L11" s="5"/>
      <c r="M11" s="21"/>
      <c r="N11" s="5"/>
      <c r="O11" s="5"/>
    </row>
    <row r="12" spans="2:15" ht="19.5" customHeight="1" x14ac:dyDescent="0.2">
      <c r="B12" s="21" t="str">
        <f t="shared" si="1"/>
        <v/>
      </c>
      <c r="C12" s="1"/>
      <c r="D12" s="5"/>
      <c r="E12" s="5"/>
      <c r="F12" s="24"/>
      <c r="G12" s="24"/>
      <c r="H12" s="29" t="str">
        <f t="shared" ca="1" si="0"/>
        <v/>
      </c>
      <c r="I12" s="12"/>
      <c r="J12" s="5"/>
      <c r="K12" s="5"/>
      <c r="L12" s="5"/>
      <c r="M12" s="21"/>
      <c r="N12" s="5"/>
      <c r="O12" s="5"/>
    </row>
    <row r="13" spans="2:15" ht="19.5" customHeight="1" x14ac:dyDescent="0.2">
      <c r="B13" s="21" t="str">
        <f t="shared" si="1"/>
        <v/>
      </c>
      <c r="C13" s="1"/>
      <c r="D13" s="5"/>
      <c r="E13" s="5"/>
      <c r="F13" s="24"/>
      <c r="G13" s="24"/>
      <c r="H13" s="29" t="str">
        <f t="shared" ca="1" si="0"/>
        <v/>
      </c>
      <c r="I13" s="12"/>
      <c r="J13" s="5"/>
      <c r="K13" s="5"/>
      <c r="L13" s="5"/>
      <c r="M13" s="21"/>
      <c r="N13" s="5"/>
      <c r="O13" s="5"/>
    </row>
    <row r="14" spans="2:15" ht="19.5" customHeight="1" x14ac:dyDescent="0.2">
      <c r="B14" s="21" t="str">
        <f t="shared" si="1"/>
        <v/>
      </c>
      <c r="C14" s="1"/>
      <c r="D14" s="5"/>
      <c r="E14" s="5"/>
      <c r="F14" s="24"/>
      <c r="G14" s="24"/>
      <c r="H14" s="29" t="str">
        <f t="shared" ca="1" si="0"/>
        <v/>
      </c>
      <c r="I14" s="12"/>
      <c r="J14" s="5"/>
      <c r="K14" s="5"/>
      <c r="L14" s="5"/>
      <c r="M14" s="21"/>
      <c r="N14" s="5"/>
      <c r="O14" s="5"/>
    </row>
    <row r="15" spans="2:15" ht="19.5" customHeight="1" x14ac:dyDescent="0.2">
      <c r="B15" s="21" t="str">
        <f t="shared" si="1"/>
        <v/>
      </c>
      <c r="C15" s="1"/>
      <c r="D15" s="5"/>
      <c r="E15" s="5"/>
      <c r="F15" s="24"/>
      <c r="G15" s="24"/>
      <c r="H15" s="29" t="str">
        <f t="shared" ca="1" si="0"/>
        <v/>
      </c>
      <c r="I15" s="12"/>
      <c r="J15" s="5"/>
      <c r="K15" s="5"/>
      <c r="L15" s="5"/>
      <c r="M15" s="21"/>
      <c r="N15" s="5"/>
      <c r="O15" s="5"/>
    </row>
    <row r="16" spans="2:15" ht="19.5" customHeight="1" x14ac:dyDescent="0.2">
      <c r="B16" s="21" t="str">
        <f t="shared" si="1"/>
        <v/>
      </c>
      <c r="C16" s="1"/>
      <c r="D16" s="5"/>
      <c r="E16" s="5"/>
      <c r="F16" s="24"/>
      <c r="G16" s="24"/>
      <c r="H16" s="29" t="str">
        <f t="shared" ca="1" si="0"/>
        <v/>
      </c>
      <c r="I16" s="12"/>
      <c r="J16" s="5"/>
      <c r="K16" s="5"/>
      <c r="L16" s="5"/>
      <c r="M16" s="21"/>
      <c r="N16" s="5"/>
      <c r="O16" s="5"/>
    </row>
    <row r="17" spans="2:15" ht="19.5" customHeight="1" x14ac:dyDescent="0.2">
      <c r="B17" s="21" t="str">
        <f t="shared" si="1"/>
        <v/>
      </c>
      <c r="C17" s="1"/>
      <c r="D17" s="5"/>
      <c r="E17" s="5"/>
      <c r="F17" s="24"/>
      <c r="G17" s="24"/>
      <c r="H17" s="29" t="str">
        <f t="shared" ca="1" si="0"/>
        <v/>
      </c>
      <c r="I17" s="12"/>
      <c r="J17" s="5"/>
      <c r="K17" s="5"/>
      <c r="L17" s="5"/>
      <c r="M17" s="21"/>
      <c r="N17" s="5"/>
      <c r="O17" s="5"/>
    </row>
    <row r="18" spans="2:15" ht="19.5" customHeight="1" x14ac:dyDescent="0.2">
      <c r="B18" s="21" t="str">
        <f t="shared" si="1"/>
        <v/>
      </c>
      <c r="C18" s="1"/>
      <c r="D18" s="5"/>
      <c r="E18" s="5"/>
      <c r="F18" s="24"/>
      <c r="G18" s="24"/>
      <c r="H18" s="29" t="str">
        <f t="shared" ca="1" si="0"/>
        <v/>
      </c>
      <c r="I18" s="12"/>
      <c r="J18" s="5"/>
      <c r="K18" s="5"/>
      <c r="L18" s="5"/>
      <c r="M18" s="21"/>
      <c r="N18" s="5"/>
      <c r="O18" s="5"/>
    </row>
    <row r="19" spans="2:15" ht="19.5" customHeight="1" x14ac:dyDescent="0.2">
      <c r="B19" s="21" t="str">
        <f t="shared" si="1"/>
        <v/>
      </c>
      <c r="C19" s="1"/>
      <c r="D19" s="5"/>
      <c r="E19" s="5"/>
      <c r="F19" s="24"/>
      <c r="G19" s="24"/>
      <c r="H19" s="29" t="str">
        <f t="shared" ca="1" si="0"/>
        <v/>
      </c>
      <c r="I19" s="12"/>
      <c r="J19" s="5"/>
      <c r="K19" s="5"/>
      <c r="L19" s="5"/>
      <c r="M19" s="21"/>
      <c r="N19" s="5"/>
      <c r="O19" s="5"/>
    </row>
    <row r="20" spans="2:15" ht="19.5" customHeight="1" x14ac:dyDescent="0.2">
      <c r="B20" s="21" t="str">
        <f t="shared" si="1"/>
        <v/>
      </c>
      <c r="C20" s="1"/>
      <c r="D20" s="5"/>
      <c r="E20" s="5"/>
      <c r="F20" s="24"/>
      <c r="G20" s="24"/>
      <c r="H20" s="29" t="str">
        <f t="shared" ca="1" si="0"/>
        <v/>
      </c>
      <c r="I20" s="12"/>
      <c r="J20" s="5"/>
      <c r="K20" s="5"/>
      <c r="L20" s="5"/>
      <c r="M20" s="21"/>
      <c r="N20" s="5"/>
      <c r="O20" s="5"/>
    </row>
    <row r="21" spans="2:15" ht="19.5" customHeight="1" x14ac:dyDescent="0.2">
      <c r="B21" s="42" t="s">
        <v>48</v>
      </c>
      <c r="C21" s="42"/>
      <c r="D21" s="42"/>
      <c r="E21" s="42"/>
      <c r="F21" s="42"/>
      <c r="G21" s="42"/>
      <c r="H21" s="42"/>
      <c r="I21" s="15">
        <f>SUM(I9:I20)</f>
        <v>0</v>
      </c>
      <c r="J21" s="17"/>
      <c r="K21" s="17"/>
      <c r="L21" s="17"/>
      <c r="M21" s="17"/>
      <c r="N21" s="17"/>
      <c r="O21" s="17"/>
    </row>
  </sheetData>
  <autoFilter ref="B8:O20" xr:uid="{00000000-0009-0000-0000-000009000000}"/>
  <mergeCells count="5">
    <mergeCell ref="B2:O2"/>
    <mergeCell ref="B3:O3"/>
    <mergeCell ref="B4:O4"/>
    <mergeCell ref="B7:O7"/>
    <mergeCell ref="B21:H21"/>
  </mergeCells>
  <conditionalFormatting sqref="H9:H20">
    <cfRule type="expression" dxfId="10" priority="2">
      <formula>AND($H9&lt;&gt;"",$H9&lt;7)</formula>
    </cfRule>
  </conditionalFormatting>
  <hyperlinks>
    <hyperlink ref="B5" r:id="rId1" location="'Synthèse'!A1" xr:uid="{00000000-0004-0000-0900-000000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showErrorMessage="1" error="Choisir une valeur dans la liste" xr:uid="{00000000-0002-0000-0900-000000000000}">
          <x14:formula1>
            <xm:f>Listes!$I$2:$I$8</xm:f>
          </x14:formula1>
          <x14:formula2>
            <xm:f>0</xm:f>
          </x14:formula2>
          <xm:sqref>M9:M20</xm:sqref>
        </x14:dataValidation>
        <x14:dataValidation type="list" allowBlank="1" showErrorMessage="1" error="Choisir une valeur dans la liste" xr:uid="{00000000-0002-0000-0900-000001000000}">
          <x14:formula1>
            <xm:f>Listes!$C$2:$C$5</xm:f>
          </x14:formula1>
          <x14:formula2>
            <xm:f>0</xm:f>
          </x14:formula2>
          <xm:sqref>N9:N20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5B041"/>
    <pageSetUpPr fitToPage="1"/>
  </sheetPr>
  <dimension ref="B2:M86"/>
  <sheetViews>
    <sheetView showGridLines="0" zoomScaleNormal="100" workbookViewId="0">
      <pane xSplit="2" ySplit="8" topLeftCell="C9" activePane="bottomRight" state="frozen"/>
      <selection pane="topRight" activeCell="C1" sqref="C1"/>
      <selection pane="bottomLeft" activeCell="A9" sqref="A9"/>
      <selection pane="bottomRight"/>
    </sheetView>
  </sheetViews>
  <sheetFormatPr baseColWidth="10" defaultColWidth="8.6640625" defaultRowHeight="15" x14ac:dyDescent="0.2"/>
  <cols>
    <col min="1" max="1" width="3" customWidth="1"/>
    <col min="2" max="4" width="22" customWidth="1"/>
    <col min="5" max="6" width="36" customWidth="1"/>
    <col min="7" max="7" width="13" customWidth="1"/>
    <col min="8" max="8" width="26" customWidth="1"/>
    <col min="9" max="9" width="42" customWidth="1"/>
    <col min="10" max="10" width="20" customWidth="1"/>
    <col min="11" max="11" width="24" customWidth="1"/>
    <col min="12" max="12" width="9" customWidth="1"/>
    <col min="13" max="13" width="40" customWidth="1"/>
  </cols>
  <sheetData>
    <row r="2" spans="2:13" ht="34.5" customHeight="1" x14ac:dyDescent="0.2">
      <c r="B2" s="40" t="s">
        <v>696</v>
      </c>
      <c r="C2" s="40"/>
      <c r="D2" s="40"/>
      <c r="E2" s="40"/>
      <c r="F2" s="40"/>
      <c r="G2" s="40"/>
      <c r="H2" s="40"/>
      <c r="I2" s="40"/>
      <c r="J2" s="40"/>
      <c r="K2" s="40"/>
      <c r="L2" s="40"/>
      <c r="M2" s="40"/>
    </row>
    <row r="3" spans="2:13" ht="19.5" customHeight="1" x14ac:dyDescent="0.2">
      <c r="B3" s="41" t="s">
        <v>697</v>
      </c>
      <c r="C3" s="41"/>
      <c r="D3" s="41"/>
      <c r="E3" s="41"/>
      <c r="F3" s="41"/>
      <c r="G3" s="41"/>
      <c r="H3" s="41"/>
      <c r="I3" s="41"/>
      <c r="J3" s="41"/>
      <c r="K3" s="41"/>
      <c r="L3" s="41"/>
      <c r="M3" s="41"/>
    </row>
    <row r="4" spans="2:13" ht="18" customHeight="1" x14ac:dyDescent="0.2">
      <c r="B4" s="41" t="s">
        <v>698</v>
      </c>
      <c r="C4" s="41"/>
      <c r="D4" s="41"/>
      <c r="E4" s="41"/>
      <c r="F4" s="41"/>
      <c r="G4" s="41"/>
      <c r="H4" s="41"/>
      <c r="I4" s="41"/>
      <c r="J4" s="41"/>
      <c r="K4" s="41"/>
      <c r="L4" s="41"/>
      <c r="M4" s="41"/>
    </row>
    <row r="5" spans="2:13" x14ac:dyDescent="0.2">
      <c r="B5" s="20" t="s">
        <v>102</v>
      </c>
    </row>
    <row r="7" spans="2:13" ht="25.5" customHeight="1" x14ac:dyDescent="0.2">
      <c r="B7" s="39" t="s">
        <v>699</v>
      </c>
      <c r="C7" s="39"/>
      <c r="D7" s="39"/>
      <c r="E7" s="39"/>
      <c r="F7" s="39"/>
      <c r="G7" s="39"/>
      <c r="H7" s="39"/>
      <c r="I7" s="39"/>
      <c r="J7" s="39"/>
      <c r="K7" s="39"/>
      <c r="L7" s="39"/>
      <c r="M7" s="39"/>
    </row>
    <row r="8" spans="2:13" ht="30" customHeight="1" x14ac:dyDescent="0.2">
      <c r="B8" s="2" t="s">
        <v>700</v>
      </c>
      <c r="C8" s="2" t="s">
        <v>701</v>
      </c>
      <c r="D8" s="2" t="s">
        <v>702</v>
      </c>
      <c r="E8" s="2" t="s">
        <v>703</v>
      </c>
      <c r="F8" s="2" t="s">
        <v>704</v>
      </c>
      <c r="G8" s="2" t="s">
        <v>705</v>
      </c>
      <c r="H8" s="2" t="s">
        <v>706</v>
      </c>
      <c r="I8" s="2" t="s">
        <v>707</v>
      </c>
      <c r="J8" s="2" t="s">
        <v>708</v>
      </c>
      <c r="K8" s="2" t="s">
        <v>709</v>
      </c>
      <c r="L8" s="2" t="s">
        <v>113</v>
      </c>
      <c r="M8" s="2" t="s">
        <v>352</v>
      </c>
    </row>
    <row r="9" spans="2:13" ht="51.75" customHeight="1" x14ac:dyDescent="0.2">
      <c r="B9" s="1" t="s">
        <v>710</v>
      </c>
      <c r="C9" s="5" t="s">
        <v>711</v>
      </c>
      <c r="D9" s="5" t="s">
        <v>712</v>
      </c>
      <c r="E9" s="5" t="s">
        <v>713</v>
      </c>
      <c r="F9" s="3"/>
      <c r="G9" s="21" t="s">
        <v>714</v>
      </c>
      <c r="H9" s="5" t="s">
        <v>715</v>
      </c>
      <c r="I9" s="5" t="s">
        <v>716</v>
      </c>
      <c r="J9" s="5" t="s">
        <v>717</v>
      </c>
      <c r="K9" s="5" t="s">
        <v>718</v>
      </c>
      <c r="L9" s="21" t="s">
        <v>132</v>
      </c>
      <c r="M9" s="5" t="s">
        <v>719</v>
      </c>
    </row>
    <row r="10" spans="2:13" ht="51.75" customHeight="1" x14ac:dyDescent="0.2">
      <c r="B10" s="1" t="s">
        <v>720</v>
      </c>
      <c r="C10" s="5" t="s">
        <v>721</v>
      </c>
      <c r="D10" s="5" t="s">
        <v>722</v>
      </c>
      <c r="E10" s="5" t="s">
        <v>723</v>
      </c>
      <c r="F10" s="3"/>
      <c r="G10" s="21" t="s">
        <v>714</v>
      </c>
      <c r="H10" s="5" t="s">
        <v>724</v>
      </c>
      <c r="I10" s="5" t="s">
        <v>725</v>
      </c>
      <c r="J10" s="5"/>
      <c r="K10" s="5" t="s">
        <v>726</v>
      </c>
      <c r="L10" s="21" t="s">
        <v>132</v>
      </c>
      <c r="M10" s="5" t="s">
        <v>727</v>
      </c>
    </row>
    <row r="11" spans="2:13" ht="51.75" customHeight="1" x14ac:dyDescent="0.2">
      <c r="B11" s="1" t="s">
        <v>151</v>
      </c>
      <c r="C11" s="5" t="s">
        <v>151</v>
      </c>
      <c r="D11" s="5" t="s">
        <v>728</v>
      </c>
      <c r="E11" s="5" t="s">
        <v>729</v>
      </c>
      <c r="F11" s="5" t="s">
        <v>730</v>
      </c>
      <c r="G11" s="21" t="s">
        <v>714</v>
      </c>
      <c r="H11" s="5" t="s">
        <v>731</v>
      </c>
      <c r="I11" s="5" t="s">
        <v>732</v>
      </c>
      <c r="J11" s="5" t="s">
        <v>733</v>
      </c>
      <c r="K11" s="5" t="s">
        <v>734</v>
      </c>
      <c r="L11" s="21" t="s">
        <v>132</v>
      </c>
      <c r="M11" s="5" t="s">
        <v>735</v>
      </c>
    </row>
    <row r="12" spans="2:13" ht="51.75" customHeight="1" x14ac:dyDescent="0.2">
      <c r="B12" s="1" t="s">
        <v>186</v>
      </c>
      <c r="C12" s="5" t="s">
        <v>186</v>
      </c>
      <c r="D12" s="5" t="s">
        <v>736</v>
      </c>
      <c r="E12" s="5" t="s">
        <v>737</v>
      </c>
      <c r="F12" s="3"/>
      <c r="G12" s="21" t="s">
        <v>714</v>
      </c>
      <c r="H12" s="5" t="s">
        <v>738</v>
      </c>
      <c r="I12" s="5" t="s">
        <v>739</v>
      </c>
      <c r="J12" s="5" t="s">
        <v>740</v>
      </c>
      <c r="K12" s="5" t="s">
        <v>741</v>
      </c>
      <c r="L12" s="21" t="s">
        <v>146</v>
      </c>
      <c r="M12" s="5" t="s">
        <v>742</v>
      </c>
    </row>
    <row r="13" spans="2:13" ht="51.75" customHeight="1" x14ac:dyDescent="0.2">
      <c r="B13" s="1" t="s">
        <v>743</v>
      </c>
      <c r="C13" s="5" t="s">
        <v>743</v>
      </c>
      <c r="D13" s="5" t="s">
        <v>744</v>
      </c>
      <c r="E13" s="5" t="s">
        <v>745</v>
      </c>
      <c r="F13" s="3"/>
      <c r="G13" s="21" t="s">
        <v>714</v>
      </c>
      <c r="H13" s="5" t="s">
        <v>746</v>
      </c>
      <c r="I13" s="5" t="s">
        <v>747</v>
      </c>
      <c r="J13" s="5"/>
      <c r="K13" s="5" t="s">
        <v>741</v>
      </c>
      <c r="L13" s="21" t="s">
        <v>146</v>
      </c>
      <c r="M13" s="5" t="s">
        <v>748</v>
      </c>
    </row>
    <row r="14" spans="2:13" ht="51.75" customHeight="1" x14ac:dyDescent="0.2">
      <c r="B14" s="1" t="s">
        <v>749</v>
      </c>
      <c r="C14" s="5" t="s">
        <v>749</v>
      </c>
      <c r="D14" s="5" t="s">
        <v>750</v>
      </c>
      <c r="E14" s="5" t="s">
        <v>86</v>
      </c>
      <c r="F14" s="3"/>
      <c r="G14" s="21" t="s">
        <v>714</v>
      </c>
      <c r="H14" s="3"/>
      <c r="I14" s="3"/>
      <c r="J14" s="5"/>
      <c r="K14" s="5"/>
      <c r="L14" s="21" t="s">
        <v>153</v>
      </c>
      <c r="M14" s="5" t="s">
        <v>751</v>
      </c>
    </row>
    <row r="15" spans="2:13" ht="51.75" customHeight="1" x14ac:dyDescent="0.2">
      <c r="B15" s="1" t="s">
        <v>752</v>
      </c>
      <c r="C15" s="5" t="s">
        <v>752</v>
      </c>
      <c r="D15" s="5" t="s">
        <v>753</v>
      </c>
      <c r="E15" s="5" t="s">
        <v>754</v>
      </c>
      <c r="F15" s="3"/>
      <c r="G15" s="21" t="s">
        <v>714</v>
      </c>
      <c r="H15" s="3"/>
      <c r="I15" s="3"/>
      <c r="J15" s="5"/>
      <c r="K15" s="5"/>
      <c r="L15" s="21" t="s">
        <v>153</v>
      </c>
      <c r="M15" s="5" t="s">
        <v>755</v>
      </c>
    </row>
    <row r="16" spans="2:13" ht="51.75" customHeight="1" x14ac:dyDescent="0.2">
      <c r="B16" s="1" t="s">
        <v>332</v>
      </c>
      <c r="C16" s="5" t="s">
        <v>332</v>
      </c>
      <c r="D16" s="5" t="s">
        <v>756</v>
      </c>
      <c r="E16" s="5" t="s">
        <v>757</v>
      </c>
      <c r="F16" s="5" t="s">
        <v>85</v>
      </c>
      <c r="G16" s="21" t="s">
        <v>714</v>
      </c>
      <c r="H16" s="3"/>
      <c r="I16" s="3"/>
      <c r="J16" s="5"/>
      <c r="K16" s="5"/>
      <c r="L16" s="21" t="s">
        <v>146</v>
      </c>
      <c r="M16" s="5" t="s">
        <v>758</v>
      </c>
    </row>
    <row r="17" spans="2:13" ht="51.75" customHeight="1" x14ac:dyDescent="0.2">
      <c r="B17" s="1" t="s">
        <v>759</v>
      </c>
      <c r="C17" s="5" t="s">
        <v>639</v>
      </c>
      <c r="D17" s="5" t="s">
        <v>760</v>
      </c>
      <c r="E17" s="5" t="s">
        <v>761</v>
      </c>
      <c r="F17" s="3"/>
      <c r="G17" s="21" t="s">
        <v>714</v>
      </c>
      <c r="H17" s="5" t="s">
        <v>762</v>
      </c>
      <c r="I17" s="3"/>
      <c r="J17" s="5" t="s">
        <v>763</v>
      </c>
      <c r="K17" s="5"/>
      <c r="L17" s="21" t="s">
        <v>146</v>
      </c>
      <c r="M17" s="5"/>
    </row>
    <row r="18" spans="2:13" ht="51.75" customHeight="1" x14ac:dyDescent="0.2">
      <c r="B18" s="1" t="s">
        <v>764</v>
      </c>
      <c r="C18" s="5" t="s">
        <v>765</v>
      </c>
      <c r="D18" s="5" t="s">
        <v>766</v>
      </c>
      <c r="E18" s="5"/>
      <c r="F18" s="3"/>
      <c r="G18" s="21" t="s">
        <v>714</v>
      </c>
      <c r="H18" s="5" t="s">
        <v>767</v>
      </c>
      <c r="I18" s="3"/>
      <c r="J18" s="5"/>
      <c r="K18" s="5"/>
      <c r="L18" s="21" t="s">
        <v>153</v>
      </c>
      <c r="M18" s="5"/>
    </row>
    <row r="19" spans="2:13" ht="51.75" customHeight="1" x14ac:dyDescent="0.2">
      <c r="B19" s="1" t="s">
        <v>316</v>
      </c>
      <c r="C19" s="5" t="s">
        <v>768</v>
      </c>
      <c r="D19" s="5" t="s">
        <v>769</v>
      </c>
      <c r="E19" s="5" t="s">
        <v>770</v>
      </c>
      <c r="F19" s="3"/>
      <c r="G19" s="21" t="s">
        <v>714</v>
      </c>
      <c r="H19" s="5" t="s">
        <v>771</v>
      </c>
      <c r="I19" s="5" t="s">
        <v>772</v>
      </c>
      <c r="J19" s="5"/>
      <c r="K19" s="5"/>
      <c r="L19" s="21" t="s">
        <v>146</v>
      </c>
      <c r="M19" s="5" t="s">
        <v>773</v>
      </c>
    </row>
    <row r="20" spans="2:13" ht="51.75" customHeight="1" x14ac:dyDescent="0.2">
      <c r="B20" s="1" t="s">
        <v>774</v>
      </c>
      <c r="C20" s="5" t="s">
        <v>775</v>
      </c>
      <c r="D20" s="5" t="s">
        <v>301</v>
      </c>
      <c r="E20" s="5" t="s">
        <v>154</v>
      </c>
      <c r="F20" s="3"/>
      <c r="G20" s="21" t="s">
        <v>776</v>
      </c>
      <c r="H20" s="5" t="s">
        <v>777</v>
      </c>
      <c r="I20" s="5" t="s">
        <v>778</v>
      </c>
      <c r="J20" s="5" t="s">
        <v>779</v>
      </c>
      <c r="K20" s="5"/>
      <c r="L20" s="21" t="s">
        <v>132</v>
      </c>
      <c r="M20" s="5" t="s">
        <v>780</v>
      </c>
    </row>
    <row r="22" spans="2:13" ht="25.5" customHeight="1" x14ac:dyDescent="0.2">
      <c r="B22" s="39" t="s">
        <v>781</v>
      </c>
      <c r="C22" s="39"/>
      <c r="D22" s="39"/>
      <c r="E22" s="39"/>
      <c r="F22" s="39"/>
      <c r="G22" s="39"/>
      <c r="H22" s="39"/>
      <c r="I22" s="39"/>
      <c r="J22" s="39"/>
      <c r="K22" s="39"/>
      <c r="L22" s="39"/>
      <c r="M22" s="39"/>
    </row>
    <row r="23" spans="2:13" ht="30" customHeight="1" x14ac:dyDescent="0.2">
      <c r="B23" s="2" t="s">
        <v>700</v>
      </c>
      <c r="C23" s="2" t="s">
        <v>42</v>
      </c>
      <c r="D23" s="2" t="s">
        <v>380</v>
      </c>
      <c r="E23" s="2" t="s">
        <v>782</v>
      </c>
      <c r="F23" s="2" t="s">
        <v>783</v>
      </c>
      <c r="G23" s="2" t="s">
        <v>70</v>
      </c>
      <c r="H23" s="2" t="s">
        <v>784</v>
      </c>
      <c r="I23" s="2" t="s">
        <v>352</v>
      </c>
      <c r="J23" s="2" t="s">
        <v>438</v>
      </c>
      <c r="K23" s="2" t="s">
        <v>785</v>
      </c>
      <c r="L23" s="2" t="s">
        <v>786</v>
      </c>
      <c r="M23" s="2" t="s">
        <v>116</v>
      </c>
    </row>
    <row r="24" spans="2:13" ht="72" customHeight="1" x14ac:dyDescent="0.2">
      <c r="B24" s="1" t="s">
        <v>710</v>
      </c>
      <c r="C24" s="1" t="s">
        <v>787</v>
      </c>
      <c r="D24" s="5" t="s">
        <v>788</v>
      </c>
      <c r="E24" s="3"/>
      <c r="F24" s="5" t="s">
        <v>789</v>
      </c>
      <c r="G24" s="21" t="s">
        <v>71</v>
      </c>
      <c r="H24" s="24">
        <v>46314</v>
      </c>
      <c r="I24" s="5" t="s">
        <v>790</v>
      </c>
      <c r="J24" s="5" t="s">
        <v>83</v>
      </c>
      <c r="K24" s="29">
        <v>5</v>
      </c>
      <c r="L24" s="24"/>
      <c r="M24" s="5" t="s">
        <v>791</v>
      </c>
    </row>
    <row r="25" spans="2:13" ht="72" customHeight="1" x14ac:dyDescent="0.2">
      <c r="B25" s="1" t="s">
        <v>710</v>
      </c>
      <c r="C25" s="1" t="s">
        <v>792</v>
      </c>
      <c r="D25" s="5" t="s">
        <v>793</v>
      </c>
      <c r="E25" s="5" t="s">
        <v>794</v>
      </c>
      <c r="F25" s="5" t="s">
        <v>795</v>
      </c>
      <c r="G25" s="21" t="s">
        <v>71</v>
      </c>
      <c r="H25" s="24">
        <v>46321</v>
      </c>
      <c r="I25" s="5" t="s">
        <v>796</v>
      </c>
      <c r="J25" s="5" t="s">
        <v>83</v>
      </c>
      <c r="K25" s="29">
        <v>5</v>
      </c>
      <c r="L25" s="24"/>
      <c r="M25" s="5" t="s">
        <v>797</v>
      </c>
    </row>
    <row r="26" spans="2:13" ht="72" customHeight="1" x14ac:dyDescent="0.2">
      <c r="B26" s="1" t="s">
        <v>710</v>
      </c>
      <c r="C26" s="1" t="s">
        <v>798</v>
      </c>
      <c r="D26" s="5" t="s">
        <v>799</v>
      </c>
      <c r="E26" s="5" t="s">
        <v>294</v>
      </c>
      <c r="F26" s="5" t="s">
        <v>800</v>
      </c>
      <c r="G26" s="21" t="s">
        <v>71</v>
      </c>
      <c r="H26" s="24">
        <v>46328</v>
      </c>
      <c r="I26" s="5" t="s">
        <v>801</v>
      </c>
      <c r="J26" s="5" t="s">
        <v>83</v>
      </c>
      <c r="K26" s="29">
        <v>5</v>
      </c>
      <c r="L26" s="24"/>
      <c r="M26" s="5" t="s">
        <v>802</v>
      </c>
    </row>
    <row r="27" spans="2:13" ht="72" customHeight="1" x14ac:dyDescent="0.2">
      <c r="B27" s="1" t="s">
        <v>710</v>
      </c>
      <c r="C27" s="1" t="s">
        <v>64</v>
      </c>
      <c r="D27" s="5" t="s">
        <v>536</v>
      </c>
      <c r="E27" s="5" t="s">
        <v>803</v>
      </c>
      <c r="F27" s="5" t="s">
        <v>804</v>
      </c>
      <c r="G27" s="21" t="s">
        <v>71</v>
      </c>
      <c r="H27" s="24">
        <v>46335</v>
      </c>
      <c r="I27" s="5" t="s">
        <v>805</v>
      </c>
      <c r="J27" s="5" t="s">
        <v>83</v>
      </c>
      <c r="K27" s="32"/>
      <c r="L27" s="24"/>
      <c r="M27" s="5" t="s">
        <v>806</v>
      </c>
    </row>
    <row r="28" spans="2:13" ht="72" customHeight="1" x14ac:dyDescent="0.2">
      <c r="B28" s="1" t="s">
        <v>710</v>
      </c>
      <c r="C28" s="1" t="s">
        <v>807</v>
      </c>
      <c r="D28" s="5" t="s">
        <v>808</v>
      </c>
      <c r="E28" s="3"/>
      <c r="F28" s="5" t="s">
        <v>809</v>
      </c>
      <c r="G28" s="21" t="s">
        <v>71</v>
      </c>
      <c r="H28" s="24">
        <v>46342</v>
      </c>
      <c r="I28" s="5" t="s">
        <v>810</v>
      </c>
      <c r="J28" s="5" t="s">
        <v>83</v>
      </c>
      <c r="K28" s="29">
        <v>4</v>
      </c>
      <c r="L28" s="24"/>
      <c r="M28" s="5" t="s">
        <v>811</v>
      </c>
    </row>
    <row r="29" spans="2:13" ht="72" customHeight="1" x14ac:dyDescent="0.2">
      <c r="B29" s="1" t="s">
        <v>710</v>
      </c>
      <c r="C29" s="1" t="s">
        <v>812</v>
      </c>
      <c r="D29" s="5" t="s">
        <v>793</v>
      </c>
      <c r="E29" s="5" t="s">
        <v>813</v>
      </c>
      <c r="F29" s="5" t="s">
        <v>795</v>
      </c>
      <c r="G29" s="21" t="s">
        <v>71</v>
      </c>
      <c r="H29" s="24">
        <v>46349</v>
      </c>
      <c r="I29" s="5" t="s">
        <v>796</v>
      </c>
      <c r="J29" s="5" t="s">
        <v>83</v>
      </c>
      <c r="K29" s="29">
        <v>4</v>
      </c>
      <c r="L29" s="24"/>
      <c r="M29" s="5" t="s">
        <v>814</v>
      </c>
    </row>
    <row r="30" spans="2:13" ht="72" customHeight="1" x14ac:dyDescent="0.2">
      <c r="B30" s="1" t="s">
        <v>710</v>
      </c>
      <c r="C30" s="1" t="s">
        <v>815</v>
      </c>
      <c r="D30" s="5" t="s">
        <v>799</v>
      </c>
      <c r="E30" s="3"/>
      <c r="F30" s="5" t="s">
        <v>800</v>
      </c>
      <c r="G30" s="21" t="s">
        <v>71</v>
      </c>
      <c r="H30" s="24">
        <v>46356</v>
      </c>
      <c r="I30" s="5" t="s">
        <v>801</v>
      </c>
      <c r="J30" s="5" t="s">
        <v>83</v>
      </c>
      <c r="K30" s="29">
        <v>4</v>
      </c>
      <c r="L30" s="24"/>
      <c r="M30" s="5" t="s">
        <v>816</v>
      </c>
    </row>
    <row r="31" spans="2:13" ht="72" customHeight="1" x14ac:dyDescent="0.2">
      <c r="B31" s="1" t="s">
        <v>710</v>
      </c>
      <c r="C31" s="1" t="s">
        <v>817</v>
      </c>
      <c r="D31" s="5" t="s">
        <v>799</v>
      </c>
      <c r="E31" s="3"/>
      <c r="F31" s="5" t="s">
        <v>800</v>
      </c>
      <c r="G31" s="21" t="s">
        <v>71</v>
      </c>
      <c r="H31" s="24">
        <v>46363</v>
      </c>
      <c r="I31" s="5" t="s">
        <v>801</v>
      </c>
      <c r="J31" s="5" t="s">
        <v>83</v>
      </c>
      <c r="K31" s="29">
        <v>4</v>
      </c>
      <c r="L31" s="24"/>
      <c r="M31" s="5" t="s">
        <v>818</v>
      </c>
    </row>
    <row r="32" spans="2:13" ht="72" customHeight="1" x14ac:dyDescent="0.2">
      <c r="B32" s="1" t="s">
        <v>710</v>
      </c>
      <c r="C32" s="1" t="s">
        <v>819</v>
      </c>
      <c r="D32" s="5" t="s">
        <v>788</v>
      </c>
      <c r="E32" s="5" t="s">
        <v>820</v>
      </c>
      <c r="F32" s="5" t="s">
        <v>789</v>
      </c>
      <c r="G32" s="21" t="s">
        <v>71</v>
      </c>
      <c r="H32" s="24">
        <v>46370</v>
      </c>
      <c r="I32" s="5" t="s">
        <v>790</v>
      </c>
      <c r="J32" s="5" t="s">
        <v>83</v>
      </c>
      <c r="K32" s="29">
        <v>4</v>
      </c>
      <c r="L32" s="24"/>
      <c r="M32" s="5" t="s">
        <v>821</v>
      </c>
    </row>
    <row r="33" spans="2:13" ht="72" customHeight="1" x14ac:dyDescent="0.2">
      <c r="B33" s="1" t="s">
        <v>710</v>
      </c>
      <c r="C33" s="1" t="s">
        <v>822</v>
      </c>
      <c r="D33" s="5" t="s">
        <v>793</v>
      </c>
      <c r="E33" s="5" t="s">
        <v>823</v>
      </c>
      <c r="F33" s="5" t="s">
        <v>795</v>
      </c>
      <c r="G33" s="21" t="s">
        <v>71</v>
      </c>
      <c r="H33" s="24">
        <v>46377</v>
      </c>
      <c r="I33" s="5" t="s">
        <v>796</v>
      </c>
      <c r="J33" s="5" t="s">
        <v>83</v>
      </c>
      <c r="K33" s="29">
        <v>4</v>
      </c>
      <c r="L33" s="24"/>
      <c r="M33" s="5" t="s">
        <v>824</v>
      </c>
    </row>
    <row r="34" spans="2:13" ht="72" customHeight="1" x14ac:dyDescent="0.2">
      <c r="B34" s="1" t="s">
        <v>710</v>
      </c>
      <c r="C34" s="1" t="s">
        <v>825</v>
      </c>
      <c r="D34" s="5" t="s">
        <v>788</v>
      </c>
      <c r="E34" s="5" t="s">
        <v>826</v>
      </c>
      <c r="F34" s="5" t="s">
        <v>789</v>
      </c>
      <c r="G34" s="21" t="s">
        <v>71</v>
      </c>
      <c r="H34" s="24">
        <v>46391</v>
      </c>
      <c r="I34" s="5" t="s">
        <v>790</v>
      </c>
      <c r="J34" s="5" t="s">
        <v>83</v>
      </c>
      <c r="K34" s="29">
        <v>4</v>
      </c>
      <c r="L34" s="24"/>
      <c r="M34" s="5" t="s">
        <v>827</v>
      </c>
    </row>
    <row r="35" spans="2:13" ht="72" customHeight="1" x14ac:dyDescent="0.2">
      <c r="B35" s="1" t="s">
        <v>710</v>
      </c>
      <c r="C35" s="1" t="s">
        <v>828</v>
      </c>
      <c r="D35" s="5" t="s">
        <v>793</v>
      </c>
      <c r="E35" s="3"/>
      <c r="F35" s="5" t="s">
        <v>795</v>
      </c>
      <c r="G35" s="21" t="s">
        <v>71</v>
      </c>
      <c r="H35" s="24">
        <v>46398</v>
      </c>
      <c r="I35" s="5" t="s">
        <v>796</v>
      </c>
      <c r="J35" s="5" t="s">
        <v>83</v>
      </c>
      <c r="K35" s="29">
        <v>4</v>
      </c>
      <c r="L35" s="24"/>
      <c r="M35" s="5" t="s">
        <v>829</v>
      </c>
    </row>
    <row r="36" spans="2:13" ht="72" customHeight="1" x14ac:dyDescent="0.2">
      <c r="B36" s="1" t="s">
        <v>710</v>
      </c>
      <c r="C36" s="1" t="s">
        <v>830</v>
      </c>
      <c r="D36" s="5" t="s">
        <v>808</v>
      </c>
      <c r="E36" s="3"/>
      <c r="F36" s="5" t="s">
        <v>809</v>
      </c>
      <c r="G36" s="21" t="s">
        <v>71</v>
      </c>
      <c r="H36" s="24">
        <v>46405</v>
      </c>
      <c r="I36" s="5" t="s">
        <v>810</v>
      </c>
      <c r="J36" s="5" t="s">
        <v>83</v>
      </c>
      <c r="K36" s="29">
        <v>3</v>
      </c>
      <c r="L36" s="24"/>
      <c r="M36" s="5" t="s">
        <v>831</v>
      </c>
    </row>
    <row r="37" spans="2:13" ht="72" customHeight="1" x14ac:dyDescent="0.2">
      <c r="B37" s="1" t="s">
        <v>710</v>
      </c>
      <c r="C37" s="1" t="s">
        <v>832</v>
      </c>
      <c r="D37" s="5" t="s">
        <v>808</v>
      </c>
      <c r="E37" s="3"/>
      <c r="F37" s="5" t="s">
        <v>809</v>
      </c>
      <c r="G37" s="21" t="s">
        <v>71</v>
      </c>
      <c r="H37" s="24">
        <v>46412</v>
      </c>
      <c r="I37" s="5" t="s">
        <v>810</v>
      </c>
      <c r="J37" s="5" t="s">
        <v>83</v>
      </c>
      <c r="K37" s="29">
        <v>3</v>
      </c>
      <c r="L37" s="24"/>
      <c r="M37" s="5" t="s">
        <v>833</v>
      </c>
    </row>
    <row r="38" spans="2:13" ht="72" customHeight="1" x14ac:dyDescent="0.2">
      <c r="B38" s="1" t="s">
        <v>710</v>
      </c>
      <c r="C38" s="1" t="s">
        <v>834</v>
      </c>
      <c r="D38" s="5" t="s">
        <v>808</v>
      </c>
      <c r="E38" s="3"/>
      <c r="F38" s="5" t="s">
        <v>809</v>
      </c>
      <c r="G38" s="21" t="s">
        <v>71</v>
      </c>
      <c r="H38" s="24">
        <v>46419</v>
      </c>
      <c r="I38" s="5" t="s">
        <v>810</v>
      </c>
      <c r="J38" s="5" t="s">
        <v>83</v>
      </c>
      <c r="K38" s="29">
        <v>3</v>
      </c>
      <c r="L38" s="24"/>
      <c r="M38" s="5" t="s">
        <v>835</v>
      </c>
    </row>
    <row r="39" spans="2:13" ht="72" customHeight="1" x14ac:dyDescent="0.2">
      <c r="B39" s="1" t="s">
        <v>710</v>
      </c>
      <c r="C39" s="1" t="s">
        <v>836</v>
      </c>
      <c r="D39" s="5" t="s">
        <v>799</v>
      </c>
      <c r="E39" s="5" t="s">
        <v>837</v>
      </c>
      <c r="F39" s="5" t="s">
        <v>800</v>
      </c>
      <c r="G39" s="21" t="s">
        <v>71</v>
      </c>
      <c r="H39" s="24">
        <v>46426</v>
      </c>
      <c r="I39" s="5" t="s">
        <v>801</v>
      </c>
      <c r="J39" s="5" t="s">
        <v>83</v>
      </c>
      <c r="K39" s="29">
        <v>3</v>
      </c>
      <c r="L39" s="24"/>
      <c r="M39" s="5" t="s">
        <v>838</v>
      </c>
    </row>
    <row r="40" spans="2:13" ht="72" customHeight="1" x14ac:dyDescent="0.2">
      <c r="B40" s="1" t="s">
        <v>710</v>
      </c>
      <c r="C40" s="1" t="s">
        <v>839</v>
      </c>
      <c r="D40" s="5" t="s">
        <v>788</v>
      </c>
      <c r="E40" s="5" t="s">
        <v>840</v>
      </c>
      <c r="F40" s="5" t="s">
        <v>789</v>
      </c>
      <c r="G40" s="21" t="s">
        <v>71</v>
      </c>
      <c r="H40" s="24">
        <v>46433</v>
      </c>
      <c r="I40" s="5" t="s">
        <v>790</v>
      </c>
      <c r="J40" s="5" t="s">
        <v>83</v>
      </c>
      <c r="K40" s="29">
        <v>3</v>
      </c>
      <c r="L40" s="24"/>
      <c r="M40" s="5" t="s">
        <v>841</v>
      </c>
    </row>
    <row r="41" spans="2:13" ht="72" customHeight="1" x14ac:dyDescent="0.2">
      <c r="B41" s="1" t="s">
        <v>710</v>
      </c>
      <c r="C41" s="1" t="s">
        <v>842</v>
      </c>
      <c r="D41" s="5" t="s">
        <v>536</v>
      </c>
      <c r="E41" s="5" t="s">
        <v>843</v>
      </c>
      <c r="F41" s="5" t="s">
        <v>804</v>
      </c>
      <c r="G41" s="21" t="s">
        <v>71</v>
      </c>
      <c r="H41" s="24">
        <v>46440</v>
      </c>
      <c r="I41" s="5" t="s">
        <v>805</v>
      </c>
      <c r="J41" s="5" t="s">
        <v>83</v>
      </c>
      <c r="K41" s="32"/>
      <c r="L41" s="24"/>
      <c r="M41" s="5" t="s">
        <v>844</v>
      </c>
    </row>
    <row r="42" spans="2:13" ht="72" customHeight="1" x14ac:dyDescent="0.2">
      <c r="B42" s="1" t="s">
        <v>710</v>
      </c>
      <c r="C42" s="1" t="s">
        <v>845</v>
      </c>
      <c r="D42" s="5" t="s">
        <v>536</v>
      </c>
      <c r="E42" s="5" t="s">
        <v>846</v>
      </c>
      <c r="F42" s="5" t="s">
        <v>804</v>
      </c>
      <c r="G42" s="21" t="s">
        <v>71</v>
      </c>
      <c r="H42" s="24">
        <v>46447</v>
      </c>
      <c r="I42" s="5" t="s">
        <v>805</v>
      </c>
      <c r="J42" s="5" t="s">
        <v>83</v>
      </c>
      <c r="K42" s="32"/>
      <c r="L42" s="24"/>
      <c r="M42" s="5" t="s">
        <v>844</v>
      </c>
    </row>
    <row r="43" spans="2:13" ht="72" customHeight="1" x14ac:dyDescent="0.2">
      <c r="B43" s="1" t="s">
        <v>710</v>
      </c>
      <c r="C43" s="1" t="s">
        <v>847</v>
      </c>
      <c r="D43" s="5" t="s">
        <v>793</v>
      </c>
      <c r="E43" s="5" t="s">
        <v>848</v>
      </c>
      <c r="F43" s="5" t="s">
        <v>795</v>
      </c>
      <c r="G43" s="21" t="s">
        <v>71</v>
      </c>
      <c r="H43" s="24"/>
      <c r="I43" s="5" t="s">
        <v>796</v>
      </c>
      <c r="J43" s="5" t="s">
        <v>83</v>
      </c>
      <c r="K43" s="29"/>
      <c r="L43" s="24"/>
      <c r="M43" s="5" t="s">
        <v>849</v>
      </c>
    </row>
    <row r="44" spans="2:13" ht="72" customHeight="1" x14ac:dyDescent="0.2">
      <c r="B44" s="1" t="s">
        <v>710</v>
      </c>
      <c r="C44" s="1" t="s">
        <v>850</v>
      </c>
      <c r="D44" s="5" t="s">
        <v>793</v>
      </c>
      <c r="E44" s="5" t="s">
        <v>851</v>
      </c>
      <c r="F44" s="5" t="s">
        <v>795</v>
      </c>
      <c r="G44" s="21" t="s">
        <v>71</v>
      </c>
      <c r="H44" s="24"/>
      <c r="I44" s="5" t="s">
        <v>796</v>
      </c>
      <c r="J44" s="5" t="s">
        <v>83</v>
      </c>
      <c r="K44" s="29"/>
      <c r="L44" s="24"/>
      <c r="M44" s="5" t="s">
        <v>852</v>
      </c>
    </row>
    <row r="45" spans="2:13" ht="72" customHeight="1" x14ac:dyDescent="0.2">
      <c r="B45" s="1" t="s">
        <v>710</v>
      </c>
      <c r="C45" s="1" t="s">
        <v>853</v>
      </c>
      <c r="D45" s="5" t="s">
        <v>793</v>
      </c>
      <c r="E45" s="5" t="s">
        <v>854</v>
      </c>
      <c r="F45" s="5" t="s">
        <v>795</v>
      </c>
      <c r="G45" s="21" t="s">
        <v>71</v>
      </c>
      <c r="H45" s="24"/>
      <c r="I45" s="5" t="s">
        <v>796</v>
      </c>
      <c r="J45" s="5" t="s">
        <v>83</v>
      </c>
      <c r="K45" s="29"/>
      <c r="L45" s="24"/>
      <c r="M45" s="5" t="s">
        <v>855</v>
      </c>
    </row>
    <row r="46" spans="2:13" ht="72" customHeight="1" x14ac:dyDescent="0.2">
      <c r="B46" s="1" t="s">
        <v>710</v>
      </c>
      <c r="C46" s="1" t="s">
        <v>856</v>
      </c>
      <c r="D46" s="5" t="s">
        <v>793</v>
      </c>
      <c r="E46" s="5" t="s">
        <v>857</v>
      </c>
      <c r="F46" s="5" t="s">
        <v>795</v>
      </c>
      <c r="G46" s="21" t="s">
        <v>71</v>
      </c>
      <c r="H46" s="24"/>
      <c r="I46" s="5" t="s">
        <v>796</v>
      </c>
      <c r="J46" s="5" t="s">
        <v>83</v>
      </c>
      <c r="K46" s="29"/>
      <c r="L46" s="24"/>
      <c r="M46" s="5" t="s">
        <v>858</v>
      </c>
    </row>
    <row r="47" spans="2:13" ht="72" customHeight="1" x14ac:dyDescent="0.2">
      <c r="B47" s="1" t="s">
        <v>710</v>
      </c>
      <c r="C47" s="1" t="s">
        <v>859</v>
      </c>
      <c r="D47" s="5" t="s">
        <v>793</v>
      </c>
      <c r="E47" s="5" t="s">
        <v>860</v>
      </c>
      <c r="F47" s="5" t="s">
        <v>795</v>
      </c>
      <c r="G47" s="21" t="s">
        <v>71</v>
      </c>
      <c r="H47" s="24"/>
      <c r="I47" s="5" t="s">
        <v>796</v>
      </c>
      <c r="J47" s="5" t="s">
        <v>83</v>
      </c>
      <c r="K47" s="29"/>
      <c r="L47" s="24"/>
      <c r="M47" s="5" t="s">
        <v>858</v>
      </c>
    </row>
    <row r="48" spans="2:13" ht="72" customHeight="1" x14ac:dyDescent="0.2">
      <c r="B48" s="1" t="s">
        <v>710</v>
      </c>
      <c r="C48" s="1" t="s">
        <v>861</v>
      </c>
      <c r="D48" s="5" t="s">
        <v>793</v>
      </c>
      <c r="E48" s="5" t="s">
        <v>862</v>
      </c>
      <c r="F48" s="5" t="s">
        <v>795</v>
      </c>
      <c r="G48" s="21" t="s">
        <v>71</v>
      </c>
      <c r="H48" s="24"/>
      <c r="I48" s="5" t="s">
        <v>796</v>
      </c>
      <c r="J48" s="5" t="s">
        <v>83</v>
      </c>
      <c r="K48" s="29"/>
      <c r="L48" s="24"/>
      <c r="M48" s="5" t="s">
        <v>863</v>
      </c>
    </row>
    <row r="49" spans="2:13" ht="72" customHeight="1" x14ac:dyDescent="0.2">
      <c r="B49" s="1" t="s">
        <v>710</v>
      </c>
      <c r="C49" s="1" t="s">
        <v>864</v>
      </c>
      <c r="D49" s="5" t="s">
        <v>793</v>
      </c>
      <c r="E49" s="5" t="s">
        <v>865</v>
      </c>
      <c r="F49" s="5" t="s">
        <v>795</v>
      </c>
      <c r="G49" s="21" t="s">
        <v>71</v>
      </c>
      <c r="H49" s="24"/>
      <c r="I49" s="5" t="s">
        <v>796</v>
      </c>
      <c r="J49" s="5" t="s">
        <v>83</v>
      </c>
      <c r="K49" s="29"/>
      <c r="L49" s="24"/>
      <c r="M49" s="5" t="s">
        <v>849</v>
      </c>
    </row>
    <row r="50" spans="2:13" ht="72" customHeight="1" x14ac:dyDescent="0.2">
      <c r="B50" s="1" t="s">
        <v>710</v>
      </c>
      <c r="C50" s="1" t="s">
        <v>866</v>
      </c>
      <c r="D50" s="5" t="s">
        <v>793</v>
      </c>
      <c r="E50" s="5" t="s">
        <v>867</v>
      </c>
      <c r="F50" s="5" t="s">
        <v>795</v>
      </c>
      <c r="G50" s="21" t="s">
        <v>71</v>
      </c>
      <c r="H50" s="24"/>
      <c r="I50" s="5" t="s">
        <v>796</v>
      </c>
      <c r="J50" s="5" t="s">
        <v>83</v>
      </c>
      <c r="K50" s="29"/>
      <c r="L50" s="24"/>
      <c r="M50" s="5" t="s">
        <v>868</v>
      </c>
    </row>
    <row r="51" spans="2:13" ht="72" customHeight="1" x14ac:dyDescent="0.2">
      <c r="B51" s="1" t="s">
        <v>710</v>
      </c>
      <c r="C51" s="1" t="s">
        <v>869</v>
      </c>
      <c r="D51" s="5" t="s">
        <v>793</v>
      </c>
      <c r="E51" s="5" t="s">
        <v>870</v>
      </c>
      <c r="F51" s="5" t="s">
        <v>795</v>
      </c>
      <c r="G51" s="21" t="s">
        <v>71</v>
      </c>
      <c r="H51" s="24"/>
      <c r="I51" s="5" t="s">
        <v>796</v>
      </c>
      <c r="J51" s="5" t="s">
        <v>83</v>
      </c>
      <c r="K51" s="29"/>
      <c r="L51" s="24"/>
      <c r="M51" s="5" t="s">
        <v>849</v>
      </c>
    </row>
    <row r="52" spans="2:13" ht="72" customHeight="1" x14ac:dyDescent="0.2">
      <c r="B52" s="1" t="s">
        <v>710</v>
      </c>
      <c r="C52" s="1" t="s">
        <v>871</v>
      </c>
      <c r="D52" s="5" t="s">
        <v>793</v>
      </c>
      <c r="E52" s="5" t="s">
        <v>872</v>
      </c>
      <c r="F52" s="5" t="s">
        <v>795</v>
      </c>
      <c r="G52" s="21" t="s">
        <v>71</v>
      </c>
      <c r="H52" s="24"/>
      <c r="I52" s="5" t="s">
        <v>796</v>
      </c>
      <c r="J52" s="5" t="s">
        <v>83</v>
      </c>
      <c r="K52" s="29"/>
      <c r="L52" s="24"/>
      <c r="M52" s="5" t="s">
        <v>855</v>
      </c>
    </row>
    <row r="53" spans="2:13" ht="72" customHeight="1" x14ac:dyDescent="0.2">
      <c r="B53" s="1" t="s">
        <v>710</v>
      </c>
      <c r="C53" s="1" t="s">
        <v>873</v>
      </c>
      <c r="D53" s="5" t="s">
        <v>793</v>
      </c>
      <c r="E53" s="5" t="s">
        <v>874</v>
      </c>
      <c r="F53" s="5" t="s">
        <v>795</v>
      </c>
      <c r="G53" s="21" t="s">
        <v>71</v>
      </c>
      <c r="H53" s="24"/>
      <c r="I53" s="5" t="s">
        <v>796</v>
      </c>
      <c r="J53" s="5" t="s">
        <v>83</v>
      </c>
      <c r="K53" s="29"/>
      <c r="L53" s="24"/>
      <c r="M53" s="5" t="s">
        <v>858</v>
      </c>
    </row>
    <row r="54" spans="2:13" ht="72" customHeight="1" x14ac:dyDescent="0.2">
      <c r="B54" s="1" t="s">
        <v>710</v>
      </c>
      <c r="C54" s="1" t="s">
        <v>875</v>
      </c>
      <c r="D54" s="5" t="s">
        <v>793</v>
      </c>
      <c r="E54" s="5" t="s">
        <v>876</v>
      </c>
      <c r="F54" s="5" t="s">
        <v>795</v>
      </c>
      <c r="G54" s="21" t="s">
        <v>71</v>
      </c>
      <c r="H54" s="24"/>
      <c r="I54" s="5" t="s">
        <v>796</v>
      </c>
      <c r="J54" s="5" t="s">
        <v>83</v>
      </c>
      <c r="K54" s="29"/>
      <c r="L54" s="24"/>
      <c r="M54" s="5" t="s">
        <v>852</v>
      </c>
    </row>
    <row r="55" spans="2:13" ht="72" customHeight="1" x14ac:dyDescent="0.2">
      <c r="B55" s="1" t="s">
        <v>710</v>
      </c>
      <c r="C55" s="1" t="s">
        <v>877</v>
      </c>
      <c r="D55" s="5" t="s">
        <v>793</v>
      </c>
      <c r="E55" s="5" t="s">
        <v>878</v>
      </c>
      <c r="F55" s="5" t="s">
        <v>795</v>
      </c>
      <c r="G55" s="21" t="s">
        <v>71</v>
      </c>
      <c r="H55" s="24"/>
      <c r="I55" s="5" t="s">
        <v>796</v>
      </c>
      <c r="J55" s="5" t="s">
        <v>83</v>
      </c>
      <c r="K55" s="29"/>
      <c r="L55" s="24"/>
      <c r="M55" s="5" t="s">
        <v>879</v>
      </c>
    </row>
    <row r="56" spans="2:13" ht="72" customHeight="1" x14ac:dyDescent="0.2">
      <c r="B56" s="1" t="s">
        <v>710</v>
      </c>
      <c r="C56" s="1" t="s">
        <v>880</v>
      </c>
      <c r="D56" s="5" t="s">
        <v>793</v>
      </c>
      <c r="E56" s="5" t="s">
        <v>881</v>
      </c>
      <c r="F56" s="5" t="s">
        <v>795</v>
      </c>
      <c r="G56" s="21" t="s">
        <v>71</v>
      </c>
      <c r="H56" s="24"/>
      <c r="I56" s="5" t="s">
        <v>796</v>
      </c>
      <c r="J56" s="5" t="s">
        <v>83</v>
      </c>
      <c r="K56" s="29"/>
      <c r="L56" s="24"/>
      <c r="M56" s="5" t="s">
        <v>879</v>
      </c>
    </row>
    <row r="57" spans="2:13" ht="72" customHeight="1" x14ac:dyDescent="0.2">
      <c r="B57" s="1" t="s">
        <v>710</v>
      </c>
      <c r="C57" s="1" t="s">
        <v>882</v>
      </c>
      <c r="D57" s="5" t="s">
        <v>793</v>
      </c>
      <c r="E57" s="5" t="s">
        <v>883</v>
      </c>
      <c r="F57" s="5" t="s">
        <v>795</v>
      </c>
      <c r="G57" s="21" t="s">
        <v>71</v>
      </c>
      <c r="H57" s="24"/>
      <c r="I57" s="5" t="s">
        <v>796</v>
      </c>
      <c r="J57" s="5" t="s">
        <v>83</v>
      </c>
      <c r="K57" s="29"/>
      <c r="L57" s="24"/>
      <c r="M57" s="5" t="s">
        <v>868</v>
      </c>
    </row>
    <row r="58" spans="2:13" ht="72" customHeight="1" x14ac:dyDescent="0.2">
      <c r="B58" s="1" t="s">
        <v>710</v>
      </c>
      <c r="C58" s="1" t="s">
        <v>884</v>
      </c>
      <c r="D58" s="5" t="s">
        <v>793</v>
      </c>
      <c r="E58" s="5" t="s">
        <v>885</v>
      </c>
      <c r="F58" s="5" t="s">
        <v>795</v>
      </c>
      <c r="G58" s="21" t="s">
        <v>71</v>
      </c>
      <c r="H58" s="24"/>
      <c r="I58" s="5" t="s">
        <v>796</v>
      </c>
      <c r="J58" s="5" t="s">
        <v>83</v>
      </c>
      <c r="K58" s="29"/>
      <c r="L58" s="24"/>
      <c r="M58" s="5" t="s">
        <v>879</v>
      </c>
    </row>
    <row r="59" spans="2:13" ht="72" customHeight="1" x14ac:dyDescent="0.2">
      <c r="B59" s="1" t="s">
        <v>710</v>
      </c>
      <c r="C59" s="1" t="s">
        <v>886</v>
      </c>
      <c r="D59" s="5" t="s">
        <v>536</v>
      </c>
      <c r="E59" s="5" t="s">
        <v>887</v>
      </c>
      <c r="F59" s="5" t="s">
        <v>804</v>
      </c>
      <c r="G59" s="21" t="s">
        <v>71</v>
      </c>
      <c r="H59" s="24"/>
      <c r="I59" s="5" t="s">
        <v>805</v>
      </c>
      <c r="J59" s="5" t="s">
        <v>83</v>
      </c>
      <c r="K59" s="29"/>
      <c r="L59" s="24"/>
      <c r="M59" s="5" t="s">
        <v>888</v>
      </c>
    </row>
    <row r="60" spans="2:13" ht="72" customHeight="1" x14ac:dyDescent="0.2">
      <c r="B60" s="1" t="s">
        <v>710</v>
      </c>
      <c r="C60" s="1" t="s">
        <v>889</v>
      </c>
      <c r="D60" s="5" t="s">
        <v>536</v>
      </c>
      <c r="E60" s="5" t="s">
        <v>890</v>
      </c>
      <c r="F60" s="5" t="s">
        <v>804</v>
      </c>
      <c r="G60" s="21" t="s">
        <v>71</v>
      </c>
      <c r="H60" s="24"/>
      <c r="I60" s="5" t="s">
        <v>805</v>
      </c>
      <c r="J60" s="5" t="s">
        <v>83</v>
      </c>
      <c r="K60" s="29"/>
      <c r="L60" s="24"/>
      <c r="M60" s="5" t="s">
        <v>868</v>
      </c>
    </row>
    <row r="61" spans="2:13" ht="72" customHeight="1" x14ac:dyDescent="0.2">
      <c r="B61" s="1" t="s">
        <v>710</v>
      </c>
      <c r="C61" s="1" t="s">
        <v>891</v>
      </c>
      <c r="D61" s="5" t="s">
        <v>536</v>
      </c>
      <c r="E61" s="5" t="s">
        <v>892</v>
      </c>
      <c r="F61" s="5" t="s">
        <v>804</v>
      </c>
      <c r="G61" s="21" t="s">
        <v>71</v>
      </c>
      <c r="H61" s="24"/>
      <c r="I61" s="5" t="s">
        <v>805</v>
      </c>
      <c r="J61" s="5" t="s">
        <v>83</v>
      </c>
      <c r="K61" s="29"/>
      <c r="L61" s="24"/>
      <c r="M61" s="5" t="s">
        <v>879</v>
      </c>
    </row>
    <row r="62" spans="2:13" ht="72" customHeight="1" x14ac:dyDescent="0.2">
      <c r="B62" s="1" t="s">
        <v>710</v>
      </c>
      <c r="C62" s="1" t="s">
        <v>893</v>
      </c>
      <c r="D62" s="5" t="s">
        <v>536</v>
      </c>
      <c r="E62" s="5" t="s">
        <v>894</v>
      </c>
      <c r="F62" s="5" t="s">
        <v>804</v>
      </c>
      <c r="G62" s="21" t="s">
        <v>71</v>
      </c>
      <c r="H62" s="24"/>
      <c r="I62" s="5" t="s">
        <v>805</v>
      </c>
      <c r="J62" s="5" t="s">
        <v>83</v>
      </c>
      <c r="K62" s="29"/>
      <c r="L62" s="24"/>
      <c r="M62" s="5" t="s">
        <v>879</v>
      </c>
    </row>
    <row r="63" spans="2:13" ht="72" customHeight="1" x14ac:dyDescent="0.2">
      <c r="B63" s="1" t="s">
        <v>710</v>
      </c>
      <c r="C63" s="1" t="s">
        <v>895</v>
      </c>
      <c r="D63" s="5" t="s">
        <v>536</v>
      </c>
      <c r="E63" s="5" t="s">
        <v>896</v>
      </c>
      <c r="F63" s="5" t="s">
        <v>804</v>
      </c>
      <c r="G63" s="21" t="s">
        <v>71</v>
      </c>
      <c r="H63" s="24"/>
      <c r="I63" s="5" t="s">
        <v>805</v>
      </c>
      <c r="J63" s="5" t="s">
        <v>83</v>
      </c>
      <c r="K63" s="29"/>
      <c r="L63" s="24"/>
      <c r="M63" s="5" t="s">
        <v>868</v>
      </c>
    </row>
    <row r="64" spans="2:13" ht="72" customHeight="1" x14ac:dyDescent="0.2">
      <c r="B64" s="1" t="s">
        <v>710</v>
      </c>
      <c r="C64" s="1" t="s">
        <v>897</v>
      </c>
      <c r="D64" s="5" t="s">
        <v>788</v>
      </c>
      <c r="E64" s="5" t="s">
        <v>898</v>
      </c>
      <c r="F64" s="5" t="s">
        <v>789</v>
      </c>
      <c r="G64" s="21" t="s">
        <v>71</v>
      </c>
      <c r="H64" s="24"/>
      <c r="I64" s="5" t="s">
        <v>790</v>
      </c>
      <c r="J64" s="5" t="s">
        <v>83</v>
      </c>
      <c r="K64" s="29"/>
      <c r="L64" s="24"/>
      <c r="M64" s="5" t="s">
        <v>868</v>
      </c>
    </row>
    <row r="65" spans="2:13" ht="72" customHeight="1" x14ac:dyDescent="0.2">
      <c r="B65" s="1" t="s">
        <v>710</v>
      </c>
      <c r="C65" s="1" t="s">
        <v>899</v>
      </c>
      <c r="D65" s="5" t="s">
        <v>788</v>
      </c>
      <c r="E65" s="5" t="s">
        <v>900</v>
      </c>
      <c r="F65" s="5" t="s">
        <v>789</v>
      </c>
      <c r="G65" s="21" t="s">
        <v>71</v>
      </c>
      <c r="H65" s="24"/>
      <c r="I65" s="5" t="s">
        <v>790</v>
      </c>
      <c r="J65" s="5" t="s">
        <v>83</v>
      </c>
      <c r="K65" s="29"/>
      <c r="L65" s="24"/>
      <c r="M65" s="5" t="s">
        <v>849</v>
      </c>
    </row>
    <row r="66" spans="2:13" ht="72" customHeight="1" x14ac:dyDescent="0.2">
      <c r="B66" s="1" t="s">
        <v>710</v>
      </c>
      <c r="C66" s="1" t="s">
        <v>901</v>
      </c>
      <c r="D66" s="5" t="s">
        <v>788</v>
      </c>
      <c r="E66" s="5" t="s">
        <v>902</v>
      </c>
      <c r="F66" s="5" t="s">
        <v>789</v>
      </c>
      <c r="G66" s="21" t="s">
        <v>71</v>
      </c>
      <c r="H66" s="24"/>
      <c r="I66" s="5" t="s">
        <v>790</v>
      </c>
      <c r="J66" s="5" t="s">
        <v>83</v>
      </c>
      <c r="K66" s="29"/>
      <c r="L66" s="24"/>
      <c r="M66" s="5" t="s">
        <v>879</v>
      </c>
    </row>
    <row r="67" spans="2:13" ht="45.75" customHeight="1" x14ac:dyDescent="0.2">
      <c r="B67" s="1" t="s">
        <v>720</v>
      </c>
      <c r="C67" s="5" t="s">
        <v>903</v>
      </c>
      <c r="D67" s="5" t="s">
        <v>904</v>
      </c>
      <c r="E67" s="5" t="s">
        <v>905</v>
      </c>
      <c r="F67" s="5"/>
      <c r="G67" s="5"/>
      <c r="H67" s="24"/>
      <c r="I67" s="5"/>
      <c r="J67" s="5"/>
      <c r="K67" s="33"/>
      <c r="L67" s="24"/>
      <c r="M67" s="5"/>
    </row>
    <row r="68" spans="2:13" ht="45.75" customHeight="1" x14ac:dyDescent="0.2">
      <c r="B68" s="1" t="s">
        <v>720</v>
      </c>
      <c r="C68" s="5" t="s">
        <v>906</v>
      </c>
      <c r="D68" s="5" t="s">
        <v>904</v>
      </c>
      <c r="E68" s="5" t="s">
        <v>794</v>
      </c>
      <c r="F68" s="5"/>
      <c r="G68" s="5"/>
      <c r="H68" s="24"/>
      <c r="I68" s="5"/>
      <c r="J68" s="5"/>
      <c r="K68" s="33"/>
      <c r="L68" s="24"/>
      <c r="M68" s="5"/>
    </row>
    <row r="69" spans="2:13" ht="45.75" customHeight="1" x14ac:dyDescent="0.2">
      <c r="B69" s="1" t="s">
        <v>720</v>
      </c>
      <c r="C69" s="5" t="s">
        <v>907</v>
      </c>
      <c r="D69" s="5" t="s">
        <v>908</v>
      </c>
      <c r="E69" s="5" t="s">
        <v>909</v>
      </c>
      <c r="F69" s="5"/>
      <c r="G69" s="5"/>
      <c r="H69" s="24"/>
      <c r="I69" s="5"/>
      <c r="J69" s="5"/>
      <c r="K69" s="33"/>
      <c r="L69" s="24"/>
      <c r="M69" s="5"/>
    </row>
    <row r="70" spans="2:13" ht="19.5" customHeight="1" x14ac:dyDescent="0.2">
      <c r="B70" s="1" t="s">
        <v>720</v>
      </c>
      <c r="C70" s="5" t="s">
        <v>910</v>
      </c>
      <c r="D70" s="5" t="s">
        <v>908</v>
      </c>
      <c r="E70" s="5"/>
      <c r="F70" s="5"/>
      <c r="G70" s="5"/>
      <c r="H70" s="24"/>
      <c r="I70" s="5"/>
      <c r="J70" s="5"/>
      <c r="K70" s="33"/>
      <c r="L70" s="24"/>
      <c r="M70" s="5"/>
    </row>
    <row r="71" spans="2:13" ht="45.75" customHeight="1" x14ac:dyDescent="0.2">
      <c r="B71" s="1" t="s">
        <v>720</v>
      </c>
      <c r="C71" s="5" t="s">
        <v>911</v>
      </c>
      <c r="D71" s="5" t="s">
        <v>912</v>
      </c>
      <c r="E71" s="5" t="s">
        <v>913</v>
      </c>
      <c r="F71" s="5"/>
      <c r="G71" s="5"/>
      <c r="H71" s="24"/>
      <c r="I71" s="5"/>
      <c r="J71" s="5"/>
      <c r="K71" s="33"/>
      <c r="L71" s="24"/>
      <c r="M71" s="5"/>
    </row>
    <row r="72" spans="2:13" ht="45.75" customHeight="1" x14ac:dyDescent="0.2">
      <c r="B72" s="1" t="s">
        <v>151</v>
      </c>
      <c r="C72" s="5" t="s">
        <v>914</v>
      </c>
      <c r="D72" s="5" t="s">
        <v>451</v>
      </c>
      <c r="E72" s="5" t="s">
        <v>915</v>
      </c>
      <c r="F72" s="5"/>
      <c r="G72" s="5"/>
      <c r="H72" s="24"/>
      <c r="I72" s="5"/>
      <c r="J72" s="5"/>
      <c r="K72" s="33"/>
      <c r="L72" s="24"/>
      <c r="M72" s="5"/>
    </row>
    <row r="73" spans="2:13" ht="19.5" customHeight="1" x14ac:dyDescent="0.2">
      <c r="B73" s="1" t="s">
        <v>151</v>
      </c>
      <c r="C73" s="5" t="s">
        <v>916</v>
      </c>
      <c r="D73" s="5" t="s">
        <v>917</v>
      </c>
      <c r="E73" s="5"/>
      <c r="F73" s="5"/>
      <c r="G73" s="5"/>
      <c r="H73" s="24"/>
      <c r="I73" s="5"/>
      <c r="J73" s="5"/>
      <c r="K73" s="33"/>
      <c r="L73" s="24"/>
      <c r="M73" s="5"/>
    </row>
    <row r="74" spans="2:13" ht="19.5" customHeight="1" x14ac:dyDescent="0.2">
      <c r="B74" s="1" t="s">
        <v>151</v>
      </c>
      <c r="C74" s="3"/>
      <c r="D74" s="5"/>
      <c r="E74" s="5"/>
      <c r="F74" s="5"/>
      <c r="G74" s="5"/>
      <c r="H74" s="24"/>
      <c r="I74" s="5"/>
      <c r="J74" s="5"/>
      <c r="K74" s="33"/>
      <c r="L74" s="24"/>
      <c r="M74" s="5"/>
    </row>
    <row r="75" spans="2:13" ht="19.5" customHeight="1" x14ac:dyDescent="0.2">
      <c r="B75" s="1" t="s">
        <v>186</v>
      </c>
      <c r="C75" s="3"/>
      <c r="D75" s="5"/>
      <c r="E75" s="5"/>
      <c r="F75" s="5"/>
      <c r="G75" s="5"/>
      <c r="H75" s="24"/>
      <c r="I75" s="5"/>
      <c r="J75" s="5"/>
      <c r="K75" s="33"/>
      <c r="L75" s="24"/>
      <c r="M75" s="5"/>
    </row>
    <row r="76" spans="2:13" ht="19.5" customHeight="1" x14ac:dyDescent="0.2">
      <c r="B76" s="1" t="s">
        <v>743</v>
      </c>
      <c r="C76" s="3"/>
      <c r="D76" s="5"/>
      <c r="E76" s="5"/>
      <c r="F76" s="5"/>
      <c r="G76" s="5"/>
      <c r="H76" s="24"/>
      <c r="I76" s="5"/>
      <c r="J76" s="5"/>
      <c r="K76" s="33"/>
      <c r="L76" s="24"/>
      <c r="M76" s="5"/>
    </row>
    <row r="77" spans="2:13" ht="19.5" customHeight="1" x14ac:dyDescent="0.2">
      <c r="B77" s="1" t="s">
        <v>316</v>
      </c>
      <c r="C77" s="5" t="s">
        <v>310</v>
      </c>
      <c r="D77" s="5" t="s">
        <v>917</v>
      </c>
      <c r="E77" s="5"/>
      <c r="F77" s="5"/>
      <c r="G77" s="5"/>
      <c r="H77" s="24"/>
      <c r="I77" s="5"/>
      <c r="J77" s="5"/>
      <c r="K77" s="33"/>
      <c r="L77" s="24"/>
      <c r="M77" s="5"/>
    </row>
    <row r="79" spans="2:13" ht="25.5" customHeight="1" x14ac:dyDescent="0.2">
      <c r="B79" s="39" t="s">
        <v>918</v>
      </c>
      <c r="C79" s="39"/>
      <c r="D79" s="39"/>
      <c r="E79" s="39"/>
      <c r="F79" s="39"/>
      <c r="G79" s="39"/>
      <c r="H79" s="39"/>
      <c r="I79" s="39"/>
      <c r="J79" s="39"/>
      <c r="K79" s="39"/>
      <c r="L79" s="39"/>
      <c r="M79" s="39"/>
    </row>
    <row r="80" spans="2:13" ht="30" customHeight="1" x14ac:dyDescent="0.2">
      <c r="B80" s="2" t="s">
        <v>919</v>
      </c>
      <c r="C80" s="2" t="s">
        <v>920</v>
      </c>
      <c r="D80" s="46" t="s">
        <v>921</v>
      </c>
      <c r="E80" s="46"/>
      <c r="F80" s="46" t="s">
        <v>922</v>
      </c>
      <c r="G80" s="46"/>
      <c r="H80" s="46"/>
      <c r="I80" s="2" t="s">
        <v>923</v>
      </c>
      <c r="J80" s="46" t="s">
        <v>924</v>
      </c>
      <c r="K80" s="46"/>
      <c r="L80" s="46" t="s">
        <v>925</v>
      </c>
      <c r="M80" s="46"/>
    </row>
    <row r="81" spans="2:13" ht="129.75" customHeight="1" x14ac:dyDescent="0.2">
      <c r="B81" s="1" t="s">
        <v>926</v>
      </c>
      <c r="C81" s="34" t="s">
        <v>927</v>
      </c>
      <c r="D81" s="38" t="s">
        <v>928</v>
      </c>
      <c r="E81" s="38"/>
      <c r="F81" s="38" t="s">
        <v>929</v>
      </c>
      <c r="G81" s="38"/>
      <c r="H81" s="38"/>
      <c r="I81" s="5" t="s">
        <v>930</v>
      </c>
      <c r="J81" s="38" t="s">
        <v>931</v>
      </c>
      <c r="K81" s="38"/>
      <c r="L81" s="38" t="s">
        <v>154</v>
      </c>
      <c r="M81" s="38"/>
    </row>
    <row r="82" spans="2:13" ht="129.75" customHeight="1" x14ac:dyDescent="0.2">
      <c r="B82" s="1" t="s">
        <v>932</v>
      </c>
      <c r="C82" s="34" t="s">
        <v>933</v>
      </c>
      <c r="D82" s="38" t="s">
        <v>934</v>
      </c>
      <c r="E82" s="38"/>
      <c r="F82" s="38" t="s">
        <v>935</v>
      </c>
      <c r="G82" s="38"/>
      <c r="H82" s="38"/>
      <c r="I82" s="5" t="s">
        <v>936</v>
      </c>
      <c r="J82" s="38" t="s">
        <v>937</v>
      </c>
      <c r="K82" s="38"/>
      <c r="L82" s="38" t="s">
        <v>938</v>
      </c>
      <c r="M82" s="38"/>
    </row>
    <row r="83" spans="2:13" ht="129.75" customHeight="1" x14ac:dyDescent="0.2">
      <c r="B83" s="1" t="s">
        <v>536</v>
      </c>
      <c r="C83" s="34" t="s">
        <v>939</v>
      </c>
      <c r="D83" s="38" t="s">
        <v>940</v>
      </c>
      <c r="E83" s="38"/>
      <c r="F83" s="38" t="s">
        <v>941</v>
      </c>
      <c r="G83" s="38"/>
      <c r="H83" s="38"/>
      <c r="I83" s="5" t="s">
        <v>942</v>
      </c>
      <c r="J83" s="38" t="s">
        <v>943</v>
      </c>
      <c r="K83" s="38"/>
      <c r="L83" s="38" t="s">
        <v>944</v>
      </c>
      <c r="M83" s="38"/>
    </row>
    <row r="84" spans="2:13" ht="129.75" customHeight="1" x14ac:dyDescent="0.2">
      <c r="B84" s="1" t="s">
        <v>945</v>
      </c>
      <c r="C84" s="34" t="s">
        <v>946</v>
      </c>
      <c r="D84" s="38" t="s">
        <v>947</v>
      </c>
      <c r="E84" s="38"/>
      <c r="F84" s="38" t="s">
        <v>948</v>
      </c>
      <c r="G84" s="38"/>
      <c r="H84" s="38"/>
      <c r="I84" s="5" t="s">
        <v>949</v>
      </c>
      <c r="J84" s="38" t="s">
        <v>950</v>
      </c>
      <c r="K84" s="38"/>
      <c r="L84" s="38" t="s">
        <v>951</v>
      </c>
      <c r="M84" s="38"/>
    </row>
    <row r="85" spans="2:13" ht="129.75" customHeight="1" x14ac:dyDescent="0.2">
      <c r="B85" s="1" t="s">
        <v>952</v>
      </c>
      <c r="C85" s="34" t="s">
        <v>953</v>
      </c>
      <c r="D85" s="38" t="s">
        <v>954</v>
      </c>
      <c r="E85" s="38"/>
      <c r="F85" s="38" t="s">
        <v>955</v>
      </c>
      <c r="G85" s="38"/>
      <c r="H85" s="38"/>
      <c r="I85" s="5" t="s">
        <v>956</v>
      </c>
      <c r="J85" s="38" t="s">
        <v>957</v>
      </c>
      <c r="K85" s="38"/>
      <c r="L85" s="38" t="s">
        <v>958</v>
      </c>
      <c r="M85" s="38"/>
    </row>
    <row r="86" spans="2:13" ht="129.75" customHeight="1" x14ac:dyDescent="0.2">
      <c r="B86" s="1" t="s">
        <v>788</v>
      </c>
      <c r="C86" s="34" t="s">
        <v>959</v>
      </c>
      <c r="D86" s="38" t="s">
        <v>960</v>
      </c>
      <c r="E86" s="38"/>
      <c r="F86" s="38" t="s">
        <v>961</v>
      </c>
      <c r="G86" s="38"/>
      <c r="H86" s="38"/>
      <c r="I86" s="5" t="s">
        <v>962</v>
      </c>
      <c r="J86" s="38" t="s">
        <v>963</v>
      </c>
      <c r="K86" s="38"/>
      <c r="L86" s="38" t="s">
        <v>964</v>
      </c>
      <c r="M86" s="38"/>
    </row>
  </sheetData>
  <autoFilter ref="B23:M77" xr:uid="{00000000-0009-0000-0000-00000A000000}"/>
  <mergeCells count="34">
    <mergeCell ref="B2:M2"/>
    <mergeCell ref="B3:M3"/>
    <mergeCell ref="B4:M4"/>
    <mergeCell ref="B7:M7"/>
    <mergeCell ref="B22:M22"/>
    <mergeCell ref="B79:M79"/>
    <mergeCell ref="D80:E80"/>
    <mergeCell ref="F80:H80"/>
    <mergeCell ref="J80:K80"/>
    <mergeCell ref="L80:M80"/>
    <mergeCell ref="D81:E81"/>
    <mergeCell ref="F81:H81"/>
    <mergeCell ref="J81:K81"/>
    <mergeCell ref="L81:M81"/>
    <mergeCell ref="D82:E82"/>
    <mergeCell ref="F82:H82"/>
    <mergeCell ref="J82:K82"/>
    <mergeCell ref="L82:M82"/>
    <mergeCell ref="D83:E83"/>
    <mergeCell ref="F83:H83"/>
    <mergeCell ref="J83:K83"/>
    <mergeCell ref="L83:M83"/>
    <mergeCell ref="D84:E84"/>
    <mergeCell ref="F84:H84"/>
    <mergeCell ref="J84:K84"/>
    <mergeCell ref="L84:M84"/>
    <mergeCell ref="D85:E85"/>
    <mergeCell ref="F85:H85"/>
    <mergeCell ref="J85:K85"/>
    <mergeCell ref="L85:M85"/>
    <mergeCell ref="D86:E86"/>
    <mergeCell ref="F86:H86"/>
    <mergeCell ref="J86:K86"/>
    <mergeCell ref="L86:M86"/>
  </mergeCells>
  <conditionalFormatting sqref="H24:H77">
    <cfRule type="expression" dxfId="9" priority="4">
      <formula>AND($H24&lt;&gt;"",$H24&lt;TODAY(),$G24="M0 – À qualifier")</formula>
    </cfRule>
  </conditionalFormatting>
  <conditionalFormatting sqref="K24:K77">
    <cfRule type="expression" dxfId="8" priority="3">
      <formula>$K24=5</formula>
    </cfRule>
  </conditionalFormatting>
  <conditionalFormatting sqref="L9:L20">
    <cfRule type="expression" dxfId="7" priority="2">
      <formula>$L9="P1"</formula>
    </cfRule>
  </conditionalFormatting>
  <hyperlinks>
    <hyperlink ref="B5" r:id="rId1" location="'Synthèse'!A1" xr:uid="{00000000-0004-0000-0A00-000000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showErrorMessage="1" error="Choisir une valeur dans la liste" xr:uid="{00000000-0002-0000-0A00-000000000000}">
          <x14:formula1>
            <xm:f>Listes!$J$2:$J$4</xm:f>
          </x14:formula1>
          <x14:formula2>
            <xm:f>0</xm:f>
          </x14:formula2>
          <xm:sqref>G9:G20</xm:sqref>
        </x14:dataValidation>
        <x14:dataValidation type="list" allowBlank="1" showErrorMessage="1" error="Choisir une valeur dans la liste" xr:uid="{00000000-0002-0000-0A00-000001000000}">
          <x14:formula1>
            <xm:f>Listes!$E$2:$E$4</xm:f>
          </x14:formula1>
          <x14:formula2>
            <xm:f>0</xm:f>
          </x14:formula2>
          <xm:sqref>L9:L20</xm:sqref>
        </x14:dataValidation>
        <x14:dataValidation type="list" allowBlank="1" showErrorMessage="1" error="Choisir une valeur dans la liste" xr:uid="{00000000-0002-0000-0A00-000002000000}">
          <x14:formula1>
            <xm:f>Listes!$A$2:$A$10</xm:f>
          </x14:formula1>
          <x14:formula2>
            <xm:f>0</xm:f>
          </x14:formula2>
          <xm:sqref>G24:G77</xm:sqref>
        </x14:dataValidation>
        <x14:dataValidation type="list" allowBlank="1" showErrorMessage="1" error="Choisir une valeur dans la liste" xr:uid="{00000000-0002-0000-0A00-000003000000}">
          <x14:formula1>
            <xm:f>Listes!$C$2:$C$5</xm:f>
          </x14:formula1>
          <x14:formula2>
            <xm:f>0</xm:f>
          </x14:formula2>
          <xm:sqref>J24:J77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5B041"/>
    <pageSetUpPr fitToPage="1"/>
  </sheetPr>
  <dimension ref="B2:I51"/>
  <sheetViews>
    <sheetView showGridLines="0" zoomScaleNormal="100" workbookViewId="0">
      <pane xSplit="3" ySplit="8" topLeftCell="D9" activePane="bottomRight" state="frozen"/>
      <selection pane="topRight" activeCell="D1" sqref="D1"/>
      <selection pane="bottomLeft" activeCell="A9" sqref="A9"/>
      <selection pane="bottomRight"/>
    </sheetView>
  </sheetViews>
  <sheetFormatPr baseColWidth="10" defaultColWidth="8.6640625" defaultRowHeight="15" x14ac:dyDescent="0.2"/>
  <cols>
    <col min="1" max="1" width="3" customWidth="1"/>
    <col min="2" max="2" width="6" customWidth="1"/>
    <col min="3" max="3" width="60" customWidth="1"/>
    <col min="4" max="4" width="24" customWidth="1"/>
    <col min="5" max="5" width="18" customWidth="1"/>
    <col min="6" max="6" width="12" customWidth="1"/>
    <col min="7" max="7" width="9" customWidth="1"/>
    <col min="8" max="8" width="11" customWidth="1"/>
    <col min="9" max="9" width="50" customWidth="1"/>
  </cols>
  <sheetData>
    <row r="2" spans="2:9" ht="34.5" customHeight="1" x14ac:dyDescent="0.2">
      <c r="B2" s="40" t="s">
        <v>965</v>
      </c>
      <c r="C2" s="40"/>
      <c r="D2" s="40"/>
      <c r="E2" s="40"/>
      <c r="F2" s="40"/>
      <c r="G2" s="40"/>
      <c r="H2" s="40"/>
      <c r="I2" s="40"/>
    </row>
    <row r="3" spans="2:9" ht="19.5" customHeight="1" x14ac:dyDescent="0.2">
      <c r="B3" s="41" t="s">
        <v>966</v>
      </c>
      <c r="C3" s="41"/>
      <c r="D3" s="41"/>
      <c r="E3" s="41"/>
      <c r="F3" s="41"/>
      <c r="G3" s="41"/>
      <c r="H3" s="41"/>
      <c r="I3" s="41"/>
    </row>
    <row r="4" spans="2:9" ht="18" customHeight="1" x14ac:dyDescent="0.2">
      <c r="B4" s="41" t="s">
        <v>967</v>
      </c>
      <c r="C4" s="41"/>
      <c r="D4" s="41"/>
      <c r="E4" s="41"/>
      <c r="F4" s="41"/>
      <c r="G4" s="41"/>
      <c r="H4" s="41"/>
      <c r="I4" s="41"/>
    </row>
    <row r="5" spans="2:9" x14ac:dyDescent="0.2">
      <c r="B5" s="20" t="s">
        <v>102</v>
      </c>
    </row>
    <row r="7" spans="2:9" ht="25.5" customHeight="1" x14ac:dyDescent="0.2">
      <c r="B7" s="39" t="s">
        <v>968</v>
      </c>
      <c r="C7" s="39"/>
      <c r="D7" s="39"/>
      <c r="E7" s="39"/>
      <c r="F7" s="39"/>
      <c r="G7" s="39"/>
      <c r="H7" s="39"/>
      <c r="I7" s="39"/>
    </row>
    <row r="8" spans="2:9" ht="30" customHeight="1" x14ac:dyDescent="0.2">
      <c r="B8" s="2" t="s">
        <v>104</v>
      </c>
      <c r="C8" s="2" t="s">
        <v>969</v>
      </c>
      <c r="D8" s="2" t="s">
        <v>970</v>
      </c>
      <c r="E8" s="2" t="s">
        <v>438</v>
      </c>
      <c r="F8" s="2" t="s">
        <v>115</v>
      </c>
      <c r="G8" s="2" t="s">
        <v>113</v>
      </c>
      <c r="H8" s="2" t="s">
        <v>971</v>
      </c>
      <c r="I8" s="2" t="s">
        <v>116</v>
      </c>
    </row>
    <row r="9" spans="2:9" ht="31.5" customHeight="1" x14ac:dyDescent="0.2">
      <c r="B9" s="21">
        <v>1</v>
      </c>
      <c r="C9" s="5" t="s">
        <v>972</v>
      </c>
      <c r="D9" s="5" t="s">
        <v>973</v>
      </c>
      <c r="E9" s="5" t="s">
        <v>83</v>
      </c>
      <c r="F9" s="24">
        <v>46315</v>
      </c>
      <c r="G9" s="21" t="s">
        <v>132</v>
      </c>
      <c r="H9" s="21" t="s">
        <v>974</v>
      </c>
      <c r="I9" s="5" t="s">
        <v>975</v>
      </c>
    </row>
    <row r="10" spans="2:9" ht="31.5" customHeight="1" x14ac:dyDescent="0.2">
      <c r="B10" s="21">
        <v>2</v>
      </c>
      <c r="C10" s="5" t="s">
        <v>976</v>
      </c>
      <c r="D10" s="5" t="s">
        <v>60</v>
      </c>
      <c r="E10" s="5" t="s">
        <v>83</v>
      </c>
      <c r="F10" s="24">
        <v>46318</v>
      </c>
      <c r="G10" s="21" t="s">
        <v>132</v>
      </c>
      <c r="H10" s="21" t="s">
        <v>974</v>
      </c>
      <c r="I10" s="5" t="s">
        <v>977</v>
      </c>
    </row>
    <row r="11" spans="2:9" ht="31.5" customHeight="1" x14ac:dyDescent="0.2">
      <c r="B11" s="21">
        <v>3</v>
      </c>
      <c r="C11" s="5" t="s">
        <v>978</v>
      </c>
      <c r="D11" s="5" t="s">
        <v>60</v>
      </c>
      <c r="E11" s="5" t="s">
        <v>83</v>
      </c>
      <c r="F11" s="24">
        <v>46315</v>
      </c>
      <c r="G11" s="21" t="s">
        <v>132</v>
      </c>
      <c r="H11" s="21" t="s">
        <v>974</v>
      </c>
      <c r="I11" s="5"/>
    </row>
    <row r="12" spans="2:9" ht="31.5" customHeight="1" x14ac:dyDescent="0.2">
      <c r="B12" s="21">
        <v>4</v>
      </c>
      <c r="C12" s="5" t="s">
        <v>979</v>
      </c>
      <c r="D12" s="5" t="s">
        <v>68</v>
      </c>
      <c r="E12" s="5" t="s">
        <v>83</v>
      </c>
      <c r="F12" s="24">
        <v>46309</v>
      </c>
      <c r="G12" s="21" t="s">
        <v>132</v>
      </c>
      <c r="H12" s="21" t="s">
        <v>974</v>
      </c>
      <c r="I12" s="5" t="s">
        <v>980</v>
      </c>
    </row>
    <row r="13" spans="2:9" ht="31.5" customHeight="1" x14ac:dyDescent="0.2">
      <c r="B13" s="21">
        <v>5</v>
      </c>
      <c r="C13" s="5" t="s">
        <v>981</v>
      </c>
      <c r="D13" s="5" t="s">
        <v>62</v>
      </c>
      <c r="E13" s="5" t="s">
        <v>83</v>
      </c>
      <c r="F13" s="24">
        <v>46315</v>
      </c>
      <c r="G13" s="21" t="s">
        <v>132</v>
      </c>
      <c r="H13" s="21" t="s">
        <v>974</v>
      </c>
      <c r="I13" s="5"/>
    </row>
    <row r="14" spans="2:9" ht="31.5" customHeight="1" x14ac:dyDescent="0.2">
      <c r="B14" s="21">
        <v>6</v>
      </c>
      <c r="C14" s="5" t="s">
        <v>982</v>
      </c>
      <c r="D14" s="5" t="s">
        <v>58</v>
      </c>
      <c r="E14" s="5" t="s">
        <v>83</v>
      </c>
      <c r="F14" s="24">
        <v>46357</v>
      </c>
      <c r="G14" s="21" t="s">
        <v>146</v>
      </c>
      <c r="H14" s="21" t="s">
        <v>974</v>
      </c>
      <c r="I14" s="5" t="s">
        <v>977</v>
      </c>
    </row>
    <row r="15" spans="2:9" ht="31.5" customHeight="1" x14ac:dyDescent="0.2">
      <c r="B15" s="21">
        <v>7</v>
      </c>
      <c r="C15" s="5" t="s">
        <v>983</v>
      </c>
      <c r="D15" s="5" t="s">
        <v>984</v>
      </c>
      <c r="E15" s="5" t="s">
        <v>83</v>
      </c>
      <c r="F15" s="24">
        <v>46318</v>
      </c>
      <c r="G15" s="21" t="s">
        <v>146</v>
      </c>
      <c r="H15" s="21" t="s">
        <v>974</v>
      </c>
      <c r="I15" s="5" t="s">
        <v>985</v>
      </c>
    </row>
    <row r="16" spans="2:9" ht="31.5" customHeight="1" x14ac:dyDescent="0.2">
      <c r="B16" s="21">
        <v>8</v>
      </c>
      <c r="C16" s="5" t="s">
        <v>986</v>
      </c>
      <c r="D16" s="5" t="s">
        <v>58</v>
      </c>
      <c r="E16" s="5" t="s">
        <v>83</v>
      </c>
      <c r="F16" s="24">
        <v>46355</v>
      </c>
      <c r="G16" s="21" t="s">
        <v>146</v>
      </c>
      <c r="H16" s="21" t="s">
        <v>974</v>
      </c>
      <c r="I16" s="5" t="s">
        <v>987</v>
      </c>
    </row>
    <row r="17" spans="2:9" ht="31.5" customHeight="1" x14ac:dyDescent="0.2">
      <c r="B17" s="21">
        <v>9</v>
      </c>
      <c r="C17" s="5" t="s">
        <v>988</v>
      </c>
      <c r="D17" s="5" t="s">
        <v>62</v>
      </c>
      <c r="E17" s="5" t="s">
        <v>83</v>
      </c>
      <c r="F17" s="24">
        <v>46472</v>
      </c>
      <c r="G17" s="21" t="s">
        <v>153</v>
      </c>
      <c r="H17" s="21" t="s">
        <v>974</v>
      </c>
      <c r="I17" s="5" t="s">
        <v>989</v>
      </c>
    </row>
    <row r="18" spans="2:9" ht="31.5" customHeight="1" x14ac:dyDescent="0.2">
      <c r="B18" s="21">
        <v>10</v>
      </c>
      <c r="C18" s="5" t="s">
        <v>990</v>
      </c>
      <c r="D18" s="5" t="s">
        <v>991</v>
      </c>
      <c r="E18" s="5" t="s">
        <v>83</v>
      </c>
      <c r="F18" s="24">
        <v>46312</v>
      </c>
      <c r="G18" s="21" t="s">
        <v>132</v>
      </c>
      <c r="H18" s="21" t="s">
        <v>974</v>
      </c>
      <c r="I18" s="5" t="s">
        <v>992</v>
      </c>
    </row>
    <row r="19" spans="2:9" ht="31.5" customHeight="1" x14ac:dyDescent="0.2">
      <c r="B19" s="21">
        <v>11</v>
      </c>
      <c r="C19" s="5" t="s">
        <v>993</v>
      </c>
      <c r="D19" s="5" t="s">
        <v>66</v>
      </c>
      <c r="E19" s="5" t="s">
        <v>83</v>
      </c>
      <c r="F19" s="24">
        <v>46318</v>
      </c>
      <c r="G19" s="21" t="s">
        <v>132</v>
      </c>
      <c r="H19" s="21" t="s">
        <v>974</v>
      </c>
      <c r="I19" s="5"/>
    </row>
    <row r="20" spans="2:9" ht="31.5" customHeight="1" x14ac:dyDescent="0.2">
      <c r="B20" s="21">
        <v>12</v>
      </c>
      <c r="C20" s="5" t="s">
        <v>994</v>
      </c>
      <c r="D20" s="5" t="s">
        <v>995</v>
      </c>
      <c r="E20" s="5" t="s">
        <v>83</v>
      </c>
      <c r="F20" s="24">
        <v>46316</v>
      </c>
      <c r="G20" s="21" t="s">
        <v>132</v>
      </c>
      <c r="H20" s="21" t="s">
        <v>974</v>
      </c>
      <c r="I20" s="5"/>
    </row>
    <row r="21" spans="2:9" ht="31.5" customHeight="1" x14ac:dyDescent="0.2">
      <c r="B21" s="21">
        <v>13</v>
      </c>
      <c r="C21" s="5" t="s">
        <v>996</v>
      </c>
      <c r="D21" s="5" t="s">
        <v>151</v>
      </c>
      <c r="E21" s="5" t="s">
        <v>83</v>
      </c>
      <c r="F21" s="24">
        <v>46318</v>
      </c>
      <c r="G21" s="21" t="s">
        <v>146</v>
      </c>
      <c r="H21" s="21" t="s">
        <v>974</v>
      </c>
      <c r="I21" s="5"/>
    </row>
    <row r="22" spans="2:9" ht="31.5" customHeight="1" x14ac:dyDescent="0.2">
      <c r="B22" s="21">
        <v>14</v>
      </c>
      <c r="C22" s="5" t="s">
        <v>997</v>
      </c>
      <c r="D22" s="5" t="s">
        <v>710</v>
      </c>
      <c r="E22" s="5" t="s">
        <v>83</v>
      </c>
      <c r="F22" s="24">
        <v>46318</v>
      </c>
      <c r="G22" s="21" t="s">
        <v>132</v>
      </c>
      <c r="H22" s="21" t="s">
        <v>974</v>
      </c>
      <c r="I22" s="5" t="s">
        <v>998</v>
      </c>
    </row>
    <row r="23" spans="2:9" ht="31.5" customHeight="1" x14ac:dyDescent="0.2">
      <c r="B23" s="21">
        <v>15</v>
      </c>
      <c r="C23" s="5" t="s">
        <v>999</v>
      </c>
      <c r="D23" s="5" t="s">
        <v>995</v>
      </c>
      <c r="E23" s="5" t="s">
        <v>83</v>
      </c>
      <c r="F23" s="24">
        <v>46314</v>
      </c>
      <c r="G23" s="21" t="s">
        <v>132</v>
      </c>
      <c r="H23" s="21" t="s">
        <v>974</v>
      </c>
      <c r="I23" s="5" t="s">
        <v>1000</v>
      </c>
    </row>
    <row r="24" spans="2:9" ht="31.5" customHeight="1" x14ac:dyDescent="0.2">
      <c r="B24" s="21">
        <v>16</v>
      </c>
      <c r="C24" s="5" t="s">
        <v>1001</v>
      </c>
      <c r="D24" s="5" t="s">
        <v>995</v>
      </c>
      <c r="E24" s="5" t="s">
        <v>83</v>
      </c>
      <c r="F24" s="24">
        <v>46325</v>
      </c>
      <c r="G24" s="21" t="s">
        <v>146</v>
      </c>
      <c r="H24" s="21" t="s">
        <v>974</v>
      </c>
      <c r="I24" s="5" t="s">
        <v>1002</v>
      </c>
    </row>
    <row r="25" spans="2:9" ht="31.5" customHeight="1" x14ac:dyDescent="0.2">
      <c r="B25" s="21">
        <v>17</v>
      </c>
      <c r="C25" s="5" t="s">
        <v>1003</v>
      </c>
      <c r="D25" s="5" t="s">
        <v>995</v>
      </c>
      <c r="E25" s="5" t="s">
        <v>83</v>
      </c>
      <c r="F25" s="24">
        <v>46332</v>
      </c>
      <c r="G25" s="21" t="s">
        <v>146</v>
      </c>
      <c r="H25" s="21" t="s">
        <v>974</v>
      </c>
      <c r="I25" s="5"/>
    </row>
    <row r="26" spans="2:9" ht="31.5" customHeight="1" x14ac:dyDescent="0.2">
      <c r="B26" s="21">
        <v>18</v>
      </c>
      <c r="C26" s="5" t="s">
        <v>1004</v>
      </c>
      <c r="D26" s="5" t="s">
        <v>1005</v>
      </c>
      <c r="E26" s="5" t="s">
        <v>83</v>
      </c>
      <c r="F26" s="24">
        <v>46325</v>
      </c>
      <c r="G26" s="21" t="s">
        <v>153</v>
      </c>
      <c r="H26" s="21" t="s">
        <v>974</v>
      </c>
      <c r="I26" s="5"/>
    </row>
    <row r="27" spans="2:9" ht="31.5" customHeight="1" x14ac:dyDescent="0.2">
      <c r="B27" s="21">
        <v>19</v>
      </c>
      <c r="C27" s="5" t="s">
        <v>1006</v>
      </c>
      <c r="D27" s="5" t="s">
        <v>66</v>
      </c>
      <c r="E27" s="5" t="s">
        <v>83</v>
      </c>
      <c r="F27" s="24">
        <v>46318</v>
      </c>
      <c r="G27" s="21" t="s">
        <v>153</v>
      </c>
      <c r="H27" s="21" t="s">
        <v>974</v>
      </c>
      <c r="I27" s="5"/>
    </row>
    <row r="28" spans="2:9" ht="31.5" customHeight="1" x14ac:dyDescent="0.2">
      <c r="B28" s="21">
        <v>20</v>
      </c>
      <c r="C28" s="5" t="s">
        <v>1007</v>
      </c>
      <c r="D28" s="5" t="s">
        <v>1008</v>
      </c>
      <c r="E28" s="5" t="s">
        <v>83</v>
      </c>
      <c r="F28" s="24">
        <v>46314</v>
      </c>
      <c r="G28" s="21" t="s">
        <v>132</v>
      </c>
      <c r="H28" s="21" t="s">
        <v>974</v>
      </c>
      <c r="I28" s="5" t="s">
        <v>1009</v>
      </c>
    </row>
    <row r="29" spans="2:9" ht="31.5" customHeight="1" x14ac:dyDescent="0.2">
      <c r="B29" s="21">
        <v>21</v>
      </c>
      <c r="C29" s="5" t="s">
        <v>1010</v>
      </c>
      <c r="D29" s="5" t="s">
        <v>60</v>
      </c>
      <c r="E29" s="5" t="s">
        <v>83</v>
      </c>
      <c r="F29" s="24">
        <v>46318</v>
      </c>
      <c r="G29" s="21" t="s">
        <v>132</v>
      </c>
      <c r="H29" s="21" t="s">
        <v>974</v>
      </c>
      <c r="I29" s="5" t="s">
        <v>1011</v>
      </c>
    </row>
    <row r="30" spans="2:9" ht="31.5" customHeight="1" x14ac:dyDescent="0.2">
      <c r="B30" s="21">
        <v>22</v>
      </c>
      <c r="C30" s="5" t="s">
        <v>1012</v>
      </c>
      <c r="D30" s="5" t="s">
        <v>1013</v>
      </c>
      <c r="E30" s="5" t="s">
        <v>83</v>
      </c>
      <c r="F30" s="24">
        <v>46325</v>
      </c>
      <c r="G30" s="21" t="s">
        <v>146</v>
      </c>
      <c r="H30" s="21" t="s">
        <v>974</v>
      </c>
      <c r="I30" s="5"/>
    </row>
    <row r="31" spans="2:9" ht="31.5" customHeight="1" x14ac:dyDescent="0.2">
      <c r="B31" s="21">
        <v>23</v>
      </c>
      <c r="C31" s="5" t="s">
        <v>1014</v>
      </c>
      <c r="D31" s="5" t="s">
        <v>1015</v>
      </c>
      <c r="E31" s="5" t="s">
        <v>83</v>
      </c>
      <c r="F31" s="24">
        <v>46332</v>
      </c>
      <c r="G31" s="21" t="s">
        <v>146</v>
      </c>
      <c r="H31" s="21" t="s">
        <v>974</v>
      </c>
      <c r="I31" s="5"/>
    </row>
    <row r="32" spans="2:9" ht="31.5" customHeight="1" x14ac:dyDescent="0.2">
      <c r="B32" s="21">
        <v>24</v>
      </c>
      <c r="C32" s="5" t="s">
        <v>1016</v>
      </c>
      <c r="D32" s="5" t="s">
        <v>68</v>
      </c>
      <c r="E32" s="5" t="s">
        <v>83</v>
      </c>
      <c r="F32" s="24">
        <v>46325</v>
      </c>
      <c r="G32" s="21" t="s">
        <v>153</v>
      </c>
      <c r="H32" s="21" t="s">
        <v>974</v>
      </c>
      <c r="I32" s="5"/>
    </row>
    <row r="33" spans="2:9" ht="31.5" customHeight="1" x14ac:dyDescent="0.2">
      <c r="B33" s="21">
        <v>25</v>
      </c>
      <c r="C33" s="5" t="s">
        <v>1017</v>
      </c>
      <c r="D33" s="5" t="s">
        <v>710</v>
      </c>
      <c r="E33" s="5" t="s">
        <v>83</v>
      </c>
      <c r="F33" s="24">
        <v>46311</v>
      </c>
      <c r="G33" s="21" t="s">
        <v>132</v>
      </c>
      <c r="H33" s="21" t="s">
        <v>974</v>
      </c>
      <c r="I33" s="5" t="s">
        <v>1018</v>
      </c>
    </row>
    <row r="34" spans="2:9" ht="31.5" customHeight="1" x14ac:dyDescent="0.2">
      <c r="B34" s="21">
        <v>26</v>
      </c>
      <c r="C34" s="5" t="s">
        <v>1019</v>
      </c>
      <c r="D34" s="5" t="s">
        <v>995</v>
      </c>
      <c r="E34" s="5" t="s">
        <v>83</v>
      </c>
      <c r="F34" s="24">
        <v>46315</v>
      </c>
      <c r="G34" s="21" t="s">
        <v>132</v>
      </c>
      <c r="H34" s="21" t="s">
        <v>974</v>
      </c>
      <c r="I34" s="5"/>
    </row>
    <row r="35" spans="2:9" ht="31.5" customHeight="1" x14ac:dyDescent="0.2">
      <c r="B35" s="21">
        <v>27</v>
      </c>
      <c r="C35" s="5" t="s">
        <v>1020</v>
      </c>
      <c r="D35" s="5" t="s">
        <v>995</v>
      </c>
      <c r="E35" s="5" t="s">
        <v>83</v>
      </c>
      <c r="F35" s="24">
        <v>46326</v>
      </c>
      <c r="G35" s="21" t="s">
        <v>146</v>
      </c>
      <c r="H35" s="21" t="s">
        <v>974</v>
      </c>
      <c r="I35" s="5"/>
    </row>
    <row r="36" spans="2:9" ht="31.5" customHeight="1" x14ac:dyDescent="0.2">
      <c r="B36" s="21">
        <v>28</v>
      </c>
      <c r="C36" s="5" t="s">
        <v>1021</v>
      </c>
      <c r="D36" s="5" t="s">
        <v>1022</v>
      </c>
      <c r="E36" s="5" t="s">
        <v>83</v>
      </c>
      <c r="F36" s="24">
        <v>46315</v>
      </c>
      <c r="G36" s="21" t="s">
        <v>132</v>
      </c>
      <c r="H36" s="21" t="s">
        <v>974</v>
      </c>
      <c r="I36" s="5" t="s">
        <v>1023</v>
      </c>
    </row>
    <row r="37" spans="2:9" ht="31.5" customHeight="1" x14ac:dyDescent="0.2">
      <c r="B37" s="21">
        <v>29</v>
      </c>
      <c r="C37" s="5" t="s">
        <v>1024</v>
      </c>
      <c r="D37" s="5" t="s">
        <v>720</v>
      </c>
      <c r="E37" s="5" t="s">
        <v>86</v>
      </c>
      <c r="F37" s="24">
        <v>46316</v>
      </c>
      <c r="G37" s="21" t="s">
        <v>132</v>
      </c>
      <c r="H37" s="21" t="s">
        <v>974</v>
      </c>
      <c r="I37" s="5"/>
    </row>
    <row r="38" spans="2:9" ht="31.5" customHeight="1" x14ac:dyDescent="0.2">
      <c r="B38" s="21">
        <v>30</v>
      </c>
      <c r="C38" s="5" t="s">
        <v>1025</v>
      </c>
      <c r="D38" s="5" t="s">
        <v>720</v>
      </c>
      <c r="E38" s="5" t="s">
        <v>85</v>
      </c>
      <c r="F38" s="24">
        <v>46316</v>
      </c>
      <c r="G38" s="21" t="s">
        <v>132</v>
      </c>
      <c r="H38" s="21" t="s">
        <v>974</v>
      </c>
      <c r="I38" s="5"/>
    </row>
    <row r="39" spans="2:9" ht="31.5" customHeight="1" x14ac:dyDescent="0.2">
      <c r="B39" s="21">
        <v>31</v>
      </c>
      <c r="C39" s="5" t="s">
        <v>1026</v>
      </c>
      <c r="D39" s="5" t="s">
        <v>295</v>
      </c>
      <c r="E39" s="5" t="s">
        <v>86</v>
      </c>
      <c r="F39" s="24">
        <v>46314</v>
      </c>
      <c r="G39" s="21" t="s">
        <v>132</v>
      </c>
      <c r="H39" s="21" t="s">
        <v>974</v>
      </c>
      <c r="I39" s="5"/>
    </row>
    <row r="40" spans="2:9" ht="31.5" customHeight="1" x14ac:dyDescent="0.2">
      <c r="B40" s="21">
        <v>32</v>
      </c>
      <c r="C40" s="5" t="s">
        <v>1027</v>
      </c>
      <c r="D40" s="5" t="s">
        <v>295</v>
      </c>
      <c r="E40" s="5" t="s">
        <v>86</v>
      </c>
      <c r="F40" s="24">
        <v>46311</v>
      </c>
      <c r="G40" s="21" t="s">
        <v>132</v>
      </c>
      <c r="H40" s="21" t="s">
        <v>974</v>
      </c>
      <c r="I40" s="5"/>
    </row>
    <row r="41" spans="2:9" ht="31.5" customHeight="1" x14ac:dyDescent="0.2">
      <c r="B41" s="21">
        <v>33</v>
      </c>
      <c r="C41" s="5" t="s">
        <v>1028</v>
      </c>
      <c r="D41" s="5" t="s">
        <v>310</v>
      </c>
      <c r="E41" s="5" t="s">
        <v>86</v>
      </c>
      <c r="F41" s="24">
        <v>46325</v>
      </c>
      <c r="G41" s="21" t="s">
        <v>146</v>
      </c>
      <c r="H41" s="21" t="s">
        <v>974</v>
      </c>
      <c r="I41" s="5"/>
    </row>
    <row r="42" spans="2:9" ht="31.5" customHeight="1" x14ac:dyDescent="0.2">
      <c r="B42" s="21">
        <v>34</v>
      </c>
      <c r="C42" s="5" t="s">
        <v>1029</v>
      </c>
      <c r="D42" s="5" t="s">
        <v>1030</v>
      </c>
      <c r="E42" s="5" t="s">
        <v>83</v>
      </c>
      <c r="F42" s="24">
        <v>46318</v>
      </c>
      <c r="G42" s="21" t="s">
        <v>146</v>
      </c>
      <c r="H42" s="21" t="s">
        <v>974</v>
      </c>
      <c r="I42" s="5"/>
    </row>
    <row r="43" spans="2:9" ht="31.5" customHeight="1" x14ac:dyDescent="0.2">
      <c r="B43" s="21">
        <v>35</v>
      </c>
      <c r="C43" s="5" t="s">
        <v>1031</v>
      </c>
      <c r="D43" s="5" t="s">
        <v>991</v>
      </c>
      <c r="E43" s="5" t="s">
        <v>83</v>
      </c>
      <c r="F43" s="24">
        <v>46318</v>
      </c>
      <c r="G43" s="21" t="s">
        <v>146</v>
      </c>
      <c r="H43" s="21" t="s">
        <v>974</v>
      </c>
      <c r="I43" s="5"/>
    </row>
    <row r="44" spans="2:9" ht="31.5" customHeight="1" x14ac:dyDescent="0.2">
      <c r="B44" s="21">
        <v>36</v>
      </c>
      <c r="C44" s="5" t="s">
        <v>1032</v>
      </c>
      <c r="D44" s="5" t="s">
        <v>991</v>
      </c>
      <c r="E44" s="5" t="s">
        <v>83</v>
      </c>
      <c r="F44" s="24">
        <v>46326</v>
      </c>
      <c r="G44" s="21" t="s">
        <v>146</v>
      </c>
      <c r="H44" s="21" t="s">
        <v>974</v>
      </c>
      <c r="I44" s="5"/>
    </row>
    <row r="45" spans="2:9" ht="31.5" customHeight="1" x14ac:dyDescent="0.2">
      <c r="B45" s="21">
        <v>37</v>
      </c>
      <c r="C45" s="5" t="s">
        <v>1033</v>
      </c>
      <c r="D45" s="5" t="s">
        <v>991</v>
      </c>
      <c r="E45" s="5" t="s">
        <v>85</v>
      </c>
      <c r="F45" s="24">
        <v>46318</v>
      </c>
      <c r="G45" s="21" t="s">
        <v>146</v>
      </c>
      <c r="H45" s="21" t="s">
        <v>974</v>
      </c>
      <c r="I45" s="5"/>
    </row>
    <row r="46" spans="2:9" ht="31.5" customHeight="1" x14ac:dyDescent="0.2">
      <c r="B46" s="21">
        <v>38</v>
      </c>
      <c r="C46" s="5" t="s">
        <v>1034</v>
      </c>
      <c r="D46" s="5" t="s">
        <v>332</v>
      </c>
      <c r="E46" s="5" t="s">
        <v>86</v>
      </c>
      <c r="F46" s="24">
        <v>46326</v>
      </c>
      <c r="G46" s="21" t="s">
        <v>153</v>
      </c>
      <c r="H46" s="21" t="s">
        <v>974</v>
      </c>
      <c r="I46" s="5"/>
    </row>
    <row r="47" spans="2:9" ht="19.5" customHeight="1" x14ac:dyDescent="0.2">
      <c r="B47" s="21" t="str">
        <f>IF(C47="","",ROW()-8)</f>
        <v/>
      </c>
      <c r="C47" s="5"/>
      <c r="D47" s="5"/>
      <c r="E47" s="5"/>
      <c r="F47" s="24"/>
      <c r="G47" s="5"/>
      <c r="H47" s="5"/>
      <c r="I47" s="5"/>
    </row>
    <row r="48" spans="2:9" ht="19.5" customHeight="1" x14ac:dyDescent="0.2">
      <c r="B48" s="21" t="str">
        <f>IF(C48="","",ROW()-8)</f>
        <v/>
      </c>
      <c r="C48" s="5"/>
      <c r="D48" s="5"/>
      <c r="E48" s="5"/>
      <c r="F48" s="24"/>
      <c r="G48" s="5"/>
      <c r="H48" s="5"/>
      <c r="I48" s="5"/>
    </row>
    <row r="49" spans="2:9" ht="19.5" customHeight="1" x14ac:dyDescent="0.2">
      <c r="B49" s="21" t="str">
        <f>IF(C49="","",ROW()-8)</f>
        <v/>
      </c>
      <c r="C49" s="5"/>
      <c r="D49" s="5"/>
      <c r="E49" s="5"/>
      <c r="F49" s="24"/>
      <c r="G49" s="5"/>
      <c r="H49" s="5"/>
      <c r="I49" s="5"/>
    </row>
    <row r="50" spans="2:9" ht="19.5" customHeight="1" x14ac:dyDescent="0.2">
      <c r="B50" s="21" t="str">
        <f>IF(C50="","",ROW()-8)</f>
        <v/>
      </c>
      <c r="C50" s="5"/>
      <c r="D50" s="5"/>
      <c r="E50" s="5"/>
      <c r="F50" s="24"/>
      <c r="G50" s="5"/>
      <c r="H50" s="5"/>
      <c r="I50" s="5"/>
    </row>
    <row r="51" spans="2:9" ht="19.5" customHeight="1" x14ac:dyDescent="0.2">
      <c r="B51" s="21" t="str">
        <f>IF(C51="","",ROW()-8)</f>
        <v/>
      </c>
      <c r="C51" s="5"/>
      <c r="D51" s="5"/>
      <c r="E51" s="5"/>
      <c r="F51" s="24"/>
      <c r="G51" s="5"/>
      <c r="H51" s="5"/>
      <c r="I51" s="5"/>
    </row>
  </sheetData>
  <autoFilter ref="B8:I51" xr:uid="{00000000-0009-0000-0000-00000B000000}"/>
  <mergeCells count="4">
    <mergeCell ref="B2:I2"/>
    <mergeCell ref="B3:I3"/>
    <mergeCell ref="B4:I4"/>
    <mergeCell ref="B7:I7"/>
  </mergeCells>
  <conditionalFormatting sqref="F9:F51">
    <cfRule type="expression" dxfId="6" priority="4">
      <formula>AND($F9&lt;&gt;"",$F9&lt;TODAY(),$H9&lt;&gt;"Fait")</formula>
    </cfRule>
  </conditionalFormatting>
  <conditionalFormatting sqref="G9:G51">
    <cfRule type="expression" dxfId="5" priority="5">
      <formula>$G9="P1"</formula>
    </cfRule>
  </conditionalFormatting>
  <conditionalFormatting sqref="H9:H51">
    <cfRule type="expression" dxfId="4" priority="2">
      <formula>$H9="Fait"</formula>
    </cfRule>
    <cfRule type="expression" dxfId="3" priority="3">
      <formula>$H9="Bloqué"</formula>
    </cfRule>
  </conditionalFormatting>
  <hyperlinks>
    <hyperlink ref="B5" r:id="rId1" location="'Synthèse'!A1" xr:uid="{00000000-0004-0000-0B00-000000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showErrorMessage="1" error="Choisir une valeur dans la liste" xr:uid="{00000000-0002-0000-0B00-000000000000}">
          <x14:formula1>
            <xm:f>Listes!$C$2:$C$5</xm:f>
          </x14:formula1>
          <x14:formula2>
            <xm:f>0</xm:f>
          </x14:formula2>
          <xm:sqref>E9:E51</xm:sqref>
        </x14:dataValidation>
        <x14:dataValidation type="list" allowBlank="1" showErrorMessage="1" error="Choisir une valeur dans la liste" xr:uid="{00000000-0002-0000-0B00-000001000000}">
          <x14:formula1>
            <xm:f>Listes!$E$2:$E$4</xm:f>
          </x14:formula1>
          <x14:formula2>
            <xm:f>0</xm:f>
          </x14:formula2>
          <xm:sqref>G9:G51</xm:sqref>
        </x14:dataValidation>
        <x14:dataValidation type="list" allowBlank="1" showErrorMessage="1" error="Choisir une valeur dans la liste" xr:uid="{00000000-0002-0000-0B00-000002000000}">
          <x14:formula1>
            <xm:f>Listes!$H$2:$H$5</xm:f>
          </x14:formula1>
          <x14:formula2>
            <xm:f>0</xm:f>
          </x14:formula2>
          <xm:sqref>H9:H51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2:N428"/>
  <sheetViews>
    <sheetView showGridLines="0" zoomScaleNormal="100" workbookViewId="0">
      <pane xSplit="4" ySplit="8" topLeftCell="E9" activePane="bottomRight" state="frozen"/>
      <selection pane="topRight" activeCell="E1" sqref="E1"/>
      <selection pane="bottomLeft" activeCell="A9" sqref="A9"/>
      <selection pane="bottomRight"/>
    </sheetView>
  </sheetViews>
  <sheetFormatPr baseColWidth="10" defaultColWidth="8.6640625" defaultRowHeight="15" x14ac:dyDescent="0.2"/>
  <cols>
    <col min="1" max="1" width="3" customWidth="1"/>
    <col min="2" max="2" width="6" customWidth="1"/>
    <col min="3" max="3" width="24" customWidth="1"/>
    <col min="4" max="4" width="20" customWidth="1"/>
    <col min="5" max="5" width="24" customWidth="1"/>
    <col min="6" max="6" width="32" customWidth="1"/>
    <col min="7" max="7" width="20" customWidth="1"/>
    <col min="8" max="8" width="24" customWidth="1"/>
    <col min="9" max="9" width="32" customWidth="1"/>
    <col min="10" max="10" width="34" customWidth="1"/>
    <col min="11" max="11" width="16" customWidth="1"/>
    <col min="12" max="12" width="12" customWidth="1"/>
    <col min="13" max="13" width="40" customWidth="1"/>
    <col min="14" max="14" width="26" customWidth="1"/>
  </cols>
  <sheetData>
    <row r="2" spans="2:14" ht="34.5" customHeight="1" x14ac:dyDescent="0.2">
      <c r="B2" s="40" t="s">
        <v>1035</v>
      </c>
      <c r="C2" s="40"/>
      <c r="D2" s="40"/>
      <c r="E2" s="40"/>
      <c r="F2" s="40"/>
      <c r="G2" s="40"/>
      <c r="H2" s="40"/>
      <c r="I2" s="40"/>
      <c r="J2" s="40"/>
      <c r="K2" s="40"/>
      <c r="L2" s="40"/>
      <c r="M2" s="40"/>
      <c r="N2" s="40"/>
    </row>
    <row r="3" spans="2:14" ht="19.5" customHeight="1" x14ac:dyDescent="0.2">
      <c r="B3" s="41" t="s">
        <v>1036</v>
      </c>
      <c r="C3" s="41"/>
      <c r="D3" s="41"/>
      <c r="E3" s="41"/>
      <c r="F3" s="41"/>
      <c r="G3" s="41"/>
      <c r="H3" s="41"/>
      <c r="I3" s="41"/>
      <c r="J3" s="41"/>
      <c r="K3" s="41"/>
      <c r="L3" s="41"/>
      <c r="M3" s="41"/>
      <c r="N3" s="41"/>
    </row>
    <row r="4" spans="2:14" ht="18" customHeight="1" x14ac:dyDescent="0.2">
      <c r="B4" s="41" t="s">
        <v>1037</v>
      </c>
      <c r="C4" s="41"/>
      <c r="D4" s="41"/>
      <c r="E4" s="41"/>
      <c r="F4" s="41"/>
      <c r="G4" s="41"/>
      <c r="H4" s="41"/>
      <c r="I4" s="41"/>
      <c r="J4" s="41"/>
      <c r="K4" s="41"/>
      <c r="L4" s="41"/>
      <c r="M4" s="41"/>
      <c r="N4" s="41"/>
    </row>
    <row r="5" spans="2:14" x14ac:dyDescent="0.2">
      <c r="B5" s="20" t="s">
        <v>102</v>
      </c>
    </row>
    <row r="7" spans="2:14" ht="25.5" customHeight="1" x14ac:dyDescent="0.2">
      <c r="B7" s="39" t="s">
        <v>1038</v>
      </c>
      <c r="C7" s="39"/>
      <c r="D7" s="39"/>
      <c r="E7" s="39"/>
      <c r="F7" s="39"/>
      <c r="G7" s="39"/>
      <c r="H7" s="39"/>
      <c r="I7" s="39"/>
      <c r="J7" s="39"/>
      <c r="K7" s="39"/>
      <c r="L7" s="39"/>
      <c r="M7" s="39"/>
      <c r="N7" s="39"/>
    </row>
    <row r="8" spans="2:14" ht="30" customHeight="1" x14ac:dyDescent="0.2">
      <c r="B8" s="2" t="s">
        <v>104</v>
      </c>
      <c r="C8" s="2" t="s">
        <v>1039</v>
      </c>
      <c r="D8" s="2" t="s">
        <v>1040</v>
      </c>
      <c r="E8" s="2" t="s">
        <v>396</v>
      </c>
      <c r="F8" s="2" t="s">
        <v>395</v>
      </c>
      <c r="G8" s="2" t="s">
        <v>410</v>
      </c>
      <c r="H8" s="2" t="s">
        <v>411</v>
      </c>
      <c r="I8" s="2" t="s">
        <v>412</v>
      </c>
      <c r="J8" s="2" t="s">
        <v>1041</v>
      </c>
      <c r="K8" s="2" t="s">
        <v>1042</v>
      </c>
      <c r="L8" s="2" t="s">
        <v>390</v>
      </c>
      <c r="M8" s="2" t="s">
        <v>116</v>
      </c>
      <c r="N8" s="2" t="s">
        <v>1043</v>
      </c>
    </row>
    <row r="9" spans="2:14" ht="18" customHeight="1" x14ac:dyDescent="0.2">
      <c r="B9" s="21">
        <v>1</v>
      </c>
      <c r="C9" s="1" t="s">
        <v>1044</v>
      </c>
      <c r="D9" s="5" t="s">
        <v>1045</v>
      </c>
      <c r="E9" s="5" t="s">
        <v>400</v>
      </c>
      <c r="F9" s="5" t="s">
        <v>399</v>
      </c>
      <c r="G9" s="5" t="s">
        <v>1046</v>
      </c>
      <c r="H9" s="5"/>
      <c r="I9" s="5"/>
      <c r="J9" s="35" t="s">
        <v>1047</v>
      </c>
      <c r="K9" s="21" t="s">
        <v>1048</v>
      </c>
      <c r="L9" s="24"/>
      <c r="M9" s="5" t="s">
        <v>1049</v>
      </c>
      <c r="N9" s="5" t="s">
        <v>1050</v>
      </c>
    </row>
    <row r="10" spans="2:14" ht="18" customHeight="1" x14ac:dyDescent="0.2">
      <c r="B10" s="21">
        <v>2</v>
      </c>
      <c r="C10" s="1" t="s">
        <v>1044</v>
      </c>
      <c r="D10" s="5" t="s">
        <v>1045</v>
      </c>
      <c r="E10" s="5" t="s">
        <v>404</v>
      </c>
      <c r="F10" s="5" t="s">
        <v>403</v>
      </c>
      <c r="G10" s="5" t="s">
        <v>1046</v>
      </c>
      <c r="H10" s="5"/>
      <c r="I10" s="5"/>
      <c r="J10" s="35" t="s">
        <v>1047</v>
      </c>
      <c r="K10" s="21" t="s">
        <v>1048</v>
      </c>
      <c r="L10" s="24"/>
      <c r="M10" s="5" t="s">
        <v>1051</v>
      </c>
      <c r="N10" s="5" t="s">
        <v>1050</v>
      </c>
    </row>
    <row r="11" spans="2:14" ht="18" customHeight="1" x14ac:dyDescent="0.2">
      <c r="B11" s="21">
        <v>3</v>
      </c>
      <c r="C11" s="1" t="s">
        <v>1052</v>
      </c>
      <c r="D11" s="5" t="s">
        <v>1045</v>
      </c>
      <c r="E11" s="5" t="s">
        <v>464</v>
      </c>
      <c r="F11" s="5" t="s">
        <v>406</v>
      </c>
      <c r="G11" s="5" t="s">
        <v>469</v>
      </c>
      <c r="H11" s="5"/>
      <c r="I11" s="5"/>
      <c r="J11" s="35" t="s">
        <v>1053</v>
      </c>
      <c r="K11" s="21" t="s">
        <v>1048</v>
      </c>
      <c r="L11" s="24"/>
      <c r="M11" s="5" t="s">
        <v>1054</v>
      </c>
      <c r="N11" s="5" t="s">
        <v>1050</v>
      </c>
    </row>
    <row r="12" spans="2:14" ht="18" customHeight="1" x14ac:dyDescent="0.2">
      <c r="B12" s="21">
        <v>4</v>
      </c>
      <c r="C12" s="1" t="s">
        <v>1052</v>
      </c>
      <c r="D12" s="5" t="s">
        <v>1045</v>
      </c>
      <c r="E12" s="5" t="s">
        <v>459</v>
      </c>
      <c r="F12" s="5" t="s">
        <v>399</v>
      </c>
      <c r="G12" s="5" t="s">
        <v>1046</v>
      </c>
      <c r="H12" s="5"/>
      <c r="I12" s="5"/>
      <c r="J12" s="35" t="s">
        <v>1053</v>
      </c>
      <c r="K12" s="21" t="s">
        <v>1048</v>
      </c>
      <c r="L12" s="24"/>
      <c r="M12" s="5" t="s">
        <v>1055</v>
      </c>
      <c r="N12" s="5" t="s">
        <v>1050</v>
      </c>
    </row>
    <row r="13" spans="2:14" ht="18" customHeight="1" x14ac:dyDescent="0.2">
      <c r="B13" s="21">
        <v>5</v>
      </c>
      <c r="C13" s="1" t="s">
        <v>1052</v>
      </c>
      <c r="D13" s="5" t="s">
        <v>1045</v>
      </c>
      <c r="E13" s="5" t="s">
        <v>462</v>
      </c>
      <c r="F13" s="5" t="s">
        <v>461</v>
      </c>
      <c r="G13" s="5" t="s">
        <v>1046</v>
      </c>
      <c r="H13" s="5"/>
      <c r="I13" s="5"/>
      <c r="J13" s="35" t="s">
        <v>1053</v>
      </c>
      <c r="K13" s="21" t="s">
        <v>1048</v>
      </c>
      <c r="L13" s="24"/>
      <c r="M13" s="5" t="s">
        <v>1056</v>
      </c>
      <c r="N13" s="5" t="s">
        <v>1050</v>
      </c>
    </row>
    <row r="14" spans="2:14" ht="18" customHeight="1" x14ac:dyDescent="0.2">
      <c r="B14" s="21">
        <v>6</v>
      </c>
      <c r="C14" s="1" t="s">
        <v>1057</v>
      </c>
      <c r="D14" s="5" t="s">
        <v>1045</v>
      </c>
      <c r="E14" s="5" t="s">
        <v>518</v>
      </c>
      <c r="F14" s="5" t="s">
        <v>517</v>
      </c>
      <c r="G14" s="5" t="s">
        <v>1046</v>
      </c>
      <c r="H14" s="5"/>
      <c r="I14" s="5"/>
      <c r="J14" s="35" t="s">
        <v>1058</v>
      </c>
      <c r="K14" s="21" t="s">
        <v>1048</v>
      </c>
      <c r="L14" s="24"/>
      <c r="M14" s="5" t="s">
        <v>1059</v>
      </c>
      <c r="N14" s="5" t="s">
        <v>1050</v>
      </c>
    </row>
    <row r="15" spans="2:14" ht="18" customHeight="1" x14ac:dyDescent="0.2">
      <c r="B15" s="21">
        <v>7</v>
      </c>
      <c r="C15" s="1" t="s">
        <v>1057</v>
      </c>
      <c r="D15" s="5" t="s">
        <v>1045</v>
      </c>
      <c r="E15" s="5" t="s">
        <v>521</v>
      </c>
      <c r="F15" s="5" t="s">
        <v>520</v>
      </c>
      <c r="G15" s="5" t="s">
        <v>1046</v>
      </c>
      <c r="H15" s="5"/>
      <c r="I15" s="5"/>
      <c r="J15" s="35" t="s">
        <v>1058</v>
      </c>
      <c r="K15" s="21" t="s">
        <v>1048</v>
      </c>
      <c r="L15" s="24"/>
      <c r="M15" s="5" t="s">
        <v>1060</v>
      </c>
      <c r="N15" s="5" t="s">
        <v>1050</v>
      </c>
    </row>
    <row r="16" spans="2:14" ht="18" customHeight="1" x14ac:dyDescent="0.2">
      <c r="B16" s="21">
        <v>8</v>
      </c>
      <c r="C16" s="1" t="s">
        <v>1061</v>
      </c>
      <c r="D16" s="5" t="s">
        <v>1045</v>
      </c>
      <c r="E16" s="5" t="s">
        <v>658</v>
      </c>
      <c r="F16" s="5" t="s">
        <v>657</v>
      </c>
      <c r="G16" s="5" t="s">
        <v>1046</v>
      </c>
      <c r="H16" s="5"/>
      <c r="I16" s="5"/>
      <c r="J16" s="35" t="s">
        <v>1062</v>
      </c>
      <c r="K16" s="21" t="s">
        <v>1048</v>
      </c>
      <c r="L16" s="24"/>
      <c r="M16" s="5" t="s">
        <v>1063</v>
      </c>
      <c r="N16" s="5" t="s">
        <v>1050</v>
      </c>
    </row>
    <row r="17" spans="2:14" ht="18" customHeight="1" x14ac:dyDescent="0.2">
      <c r="B17" s="21">
        <v>9</v>
      </c>
      <c r="C17" s="1" t="s">
        <v>1061</v>
      </c>
      <c r="D17" s="5" t="s">
        <v>1045</v>
      </c>
      <c r="E17" s="5" t="s">
        <v>661</v>
      </c>
      <c r="F17" s="5" t="s">
        <v>660</v>
      </c>
      <c r="G17" s="5" t="s">
        <v>1046</v>
      </c>
      <c r="H17" s="5"/>
      <c r="I17" s="5"/>
      <c r="J17" s="35" t="s">
        <v>1062</v>
      </c>
      <c r="K17" s="21" t="s">
        <v>1048</v>
      </c>
      <c r="L17" s="24"/>
      <c r="M17" s="5" t="s">
        <v>1064</v>
      </c>
      <c r="N17" s="5" t="s">
        <v>1050</v>
      </c>
    </row>
    <row r="18" spans="2:14" ht="18" customHeight="1" x14ac:dyDescent="0.2">
      <c r="B18" s="21">
        <v>10</v>
      </c>
      <c r="C18" s="1" t="s">
        <v>1061</v>
      </c>
      <c r="D18" s="5" t="s">
        <v>1045</v>
      </c>
      <c r="E18" s="5" t="s">
        <v>664</v>
      </c>
      <c r="F18" s="5" t="s">
        <v>663</v>
      </c>
      <c r="G18" s="5" t="s">
        <v>1046</v>
      </c>
      <c r="H18" s="5"/>
      <c r="I18" s="5"/>
      <c r="J18" s="35" t="s">
        <v>1062</v>
      </c>
      <c r="K18" s="21" t="s">
        <v>1048</v>
      </c>
      <c r="L18" s="24"/>
      <c r="M18" s="5" t="s">
        <v>1065</v>
      </c>
      <c r="N18" s="5" t="s">
        <v>1050</v>
      </c>
    </row>
    <row r="19" spans="2:14" ht="18" customHeight="1" x14ac:dyDescent="0.2">
      <c r="B19" s="21">
        <v>11</v>
      </c>
      <c r="C19" s="1" t="s">
        <v>1066</v>
      </c>
      <c r="D19" s="5" t="s">
        <v>1045</v>
      </c>
      <c r="E19" s="5" t="s">
        <v>542</v>
      </c>
      <c r="F19" s="5" t="s">
        <v>399</v>
      </c>
      <c r="G19" s="5" t="s">
        <v>1046</v>
      </c>
      <c r="H19" s="5"/>
      <c r="I19" s="5"/>
      <c r="J19" s="35" t="s">
        <v>1067</v>
      </c>
      <c r="K19" s="21" t="s">
        <v>1048</v>
      </c>
      <c r="L19" s="24"/>
      <c r="M19" s="5" t="s">
        <v>1068</v>
      </c>
      <c r="N19" s="5" t="s">
        <v>1050</v>
      </c>
    </row>
    <row r="20" spans="2:14" ht="18" customHeight="1" x14ac:dyDescent="0.2">
      <c r="B20" s="21">
        <v>12</v>
      </c>
      <c r="C20" s="1" t="s">
        <v>1066</v>
      </c>
      <c r="D20" s="5" t="s">
        <v>1045</v>
      </c>
      <c r="E20" s="5" t="s">
        <v>544</v>
      </c>
      <c r="F20" s="5" t="s">
        <v>403</v>
      </c>
      <c r="G20" s="5" t="s">
        <v>1046</v>
      </c>
      <c r="H20" s="5"/>
      <c r="I20" s="5"/>
      <c r="J20" s="35" t="s">
        <v>1067</v>
      </c>
      <c r="K20" s="21" t="s">
        <v>1048</v>
      </c>
      <c r="L20" s="24"/>
      <c r="M20" s="5" t="s">
        <v>1069</v>
      </c>
      <c r="N20" s="5" t="s">
        <v>1050</v>
      </c>
    </row>
    <row r="21" spans="2:14" ht="18" customHeight="1" x14ac:dyDescent="0.2">
      <c r="B21" s="21">
        <v>13</v>
      </c>
      <c r="C21" s="1" t="s">
        <v>1066</v>
      </c>
      <c r="D21" s="5" t="s">
        <v>1045</v>
      </c>
      <c r="E21" s="5" t="s">
        <v>547</v>
      </c>
      <c r="F21" s="5" t="s">
        <v>546</v>
      </c>
      <c r="G21" s="5" t="s">
        <v>1046</v>
      </c>
      <c r="H21" s="5"/>
      <c r="I21" s="5"/>
      <c r="J21" s="35" t="s">
        <v>1067</v>
      </c>
      <c r="K21" s="21" t="s">
        <v>1048</v>
      </c>
      <c r="L21" s="24"/>
      <c r="M21" s="5" t="s">
        <v>1070</v>
      </c>
      <c r="N21" s="5" t="s">
        <v>1050</v>
      </c>
    </row>
    <row r="22" spans="2:14" ht="18" customHeight="1" x14ac:dyDescent="0.2">
      <c r="B22" s="21">
        <v>14</v>
      </c>
      <c r="C22" s="1" t="s">
        <v>1066</v>
      </c>
      <c r="D22" s="5" t="s">
        <v>1045</v>
      </c>
      <c r="E22" s="5" t="s">
        <v>550</v>
      </c>
      <c r="F22" s="5" t="s">
        <v>549</v>
      </c>
      <c r="G22" s="5" t="s">
        <v>1046</v>
      </c>
      <c r="H22" s="5"/>
      <c r="I22" s="5"/>
      <c r="J22" s="35" t="s">
        <v>1067</v>
      </c>
      <c r="K22" s="21" t="s">
        <v>1048</v>
      </c>
      <c r="L22" s="24"/>
      <c r="M22" s="5" t="s">
        <v>1065</v>
      </c>
      <c r="N22" s="5" t="s">
        <v>1050</v>
      </c>
    </row>
    <row r="23" spans="2:14" ht="18" customHeight="1" x14ac:dyDescent="0.2">
      <c r="B23" s="21">
        <v>15</v>
      </c>
      <c r="C23" s="1" t="s">
        <v>1066</v>
      </c>
      <c r="D23" s="5" t="s">
        <v>1045</v>
      </c>
      <c r="E23" s="5" t="s">
        <v>552</v>
      </c>
      <c r="F23" s="5" t="s">
        <v>551</v>
      </c>
      <c r="G23" s="5" t="s">
        <v>1046</v>
      </c>
      <c r="H23" s="5"/>
      <c r="I23" s="5"/>
      <c r="J23" s="35" t="s">
        <v>1067</v>
      </c>
      <c r="K23" s="21" t="s">
        <v>1048</v>
      </c>
      <c r="L23" s="24"/>
      <c r="M23" s="5" t="s">
        <v>1071</v>
      </c>
      <c r="N23" s="5" t="s">
        <v>1050</v>
      </c>
    </row>
    <row r="24" spans="2:14" ht="18" customHeight="1" x14ac:dyDescent="0.2">
      <c r="B24" s="21">
        <v>16</v>
      </c>
      <c r="C24" s="1" t="s">
        <v>1066</v>
      </c>
      <c r="D24" s="5" t="s">
        <v>1045</v>
      </c>
      <c r="E24" s="5" t="s">
        <v>555</v>
      </c>
      <c r="F24" s="5" t="s">
        <v>554</v>
      </c>
      <c r="G24" s="5" t="s">
        <v>1046</v>
      </c>
      <c r="H24" s="5"/>
      <c r="I24" s="5"/>
      <c r="J24" s="35" t="s">
        <v>1067</v>
      </c>
      <c r="K24" s="21" t="s">
        <v>1048</v>
      </c>
      <c r="L24" s="24"/>
      <c r="M24" s="5" t="s">
        <v>1072</v>
      </c>
      <c r="N24" s="5" t="s">
        <v>1050</v>
      </c>
    </row>
    <row r="25" spans="2:14" ht="18" customHeight="1" x14ac:dyDescent="0.2">
      <c r="B25" s="21">
        <v>17</v>
      </c>
      <c r="C25" s="1" t="s">
        <v>1073</v>
      </c>
      <c r="D25" s="5" t="s">
        <v>1045</v>
      </c>
      <c r="E25" s="5" t="s">
        <v>1074</v>
      </c>
      <c r="F25" s="5" t="s">
        <v>406</v>
      </c>
      <c r="G25" s="5" t="s">
        <v>469</v>
      </c>
      <c r="H25" s="5"/>
      <c r="I25" s="5"/>
      <c r="J25" s="35" t="s">
        <v>1075</v>
      </c>
      <c r="K25" s="21" t="s">
        <v>1048</v>
      </c>
      <c r="L25" s="24"/>
      <c r="M25" s="5" t="s">
        <v>1076</v>
      </c>
      <c r="N25" s="5" t="s">
        <v>1050</v>
      </c>
    </row>
    <row r="26" spans="2:14" ht="18" customHeight="1" x14ac:dyDescent="0.2">
      <c r="B26" s="21">
        <v>18</v>
      </c>
      <c r="C26" s="1" t="s">
        <v>1073</v>
      </c>
      <c r="D26" s="5" t="s">
        <v>1045</v>
      </c>
      <c r="E26" s="5" t="s">
        <v>1077</v>
      </c>
      <c r="F26" s="5" t="s">
        <v>1078</v>
      </c>
      <c r="G26" s="5" t="s">
        <v>1046</v>
      </c>
      <c r="H26" s="5"/>
      <c r="I26" s="5"/>
      <c r="J26" s="35" t="s">
        <v>1075</v>
      </c>
      <c r="K26" s="21" t="s">
        <v>1048</v>
      </c>
      <c r="L26" s="24"/>
      <c r="M26" s="5" t="s">
        <v>1079</v>
      </c>
      <c r="N26" s="5" t="s">
        <v>1050</v>
      </c>
    </row>
    <row r="27" spans="2:14" ht="18" customHeight="1" x14ac:dyDescent="0.2">
      <c r="B27" s="21">
        <v>19</v>
      </c>
      <c r="C27" s="1" t="s">
        <v>871</v>
      </c>
      <c r="D27" s="5" t="s">
        <v>1080</v>
      </c>
      <c r="E27" s="5" t="s">
        <v>1081</v>
      </c>
      <c r="F27" s="5" t="s">
        <v>1082</v>
      </c>
      <c r="G27" s="5" t="s">
        <v>469</v>
      </c>
      <c r="H27" s="5" t="s">
        <v>1083</v>
      </c>
      <c r="I27" s="5" t="s">
        <v>1084</v>
      </c>
      <c r="J27" s="35" t="s">
        <v>1085</v>
      </c>
      <c r="K27" s="21" t="s">
        <v>1086</v>
      </c>
      <c r="L27" s="24"/>
      <c r="M27" s="5"/>
      <c r="N27" s="5" t="s">
        <v>1087</v>
      </c>
    </row>
    <row r="28" spans="2:14" ht="18" customHeight="1" x14ac:dyDescent="0.2">
      <c r="B28" s="21">
        <v>20</v>
      </c>
      <c r="C28" s="1" t="s">
        <v>871</v>
      </c>
      <c r="D28" s="5" t="s">
        <v>1080</v>
      </c>
      <c r="E28" s="5" t="s">
        <v>1088</v>
      </c>
      <c r="F28" s="5" t="s">
        <v>1089</v>
      </c>
      <c r="G28" s="5" t="s">
        <v>481</v>
      </c>
      <c r="H28" s="5" t="s">
        <v>1090</v>
      </c>
      <c r="I28" s="5" t="s">
        <v>1091</v>
      </c>
      <c r="J28" s="35" t="s">
        <v>1085</v>
      </c>
      <c r="K28" s="21" t="s">
        <v>1086</v>
      </c>
      <c r="L28" s="24"/>
      <c r="M28" s="5"/>
      <c r="N28" s="5" t="s">
        <v>1087</v>
      </c>
    </row>
    <row r="29" spans="2:14" ht="18" customHeight="1" x14ac:dyDescent="0.2">
      <c r="B29" s="21">
        <v>21</v>
      </c>
      <c r="C29" s="1" t="s">
        <v>871</v>
      </c>
      <c r="D29" s="5" t="s">
        <v>1080</v>
      </c>
      <c r="E29" s="5" t="s">
        <v>1092</v>
      </c>
      <c r="F29" s="5" t="s">
        <v>1093</v>
      </c>
      <c r="G29" s="5" t="s">
        <v>455</v>
      </c>
      <c r="H29" s="5" t="s">
        <v>1094</v>
      </c>
      <c r="I29" s="5" t="s">
        <v>1095</v>
      </c>
      <c r="J29" s="35" t="s">
        <v>1085</v>
      </c>
      <c r="K29" s="21" t="s">
        <v>1048</v>
      </c>
      <c r="L29" s="24"/>
      <c r="M29" s="5"/>
      <c r="N29" s="5" t="s">
        <v>1087</v>
      </c>
    </row>
    <row r="30" spans="2:14" ht="18" customHeight="1" x14ac:dyDescent="0.2">
      <c r="B30" s="21">
        <v>22</v>
      </c>
      <c r="C30" s="1" t="s">
        <v>871</v>
      </c>
      <c r="D30" s="5" t="s">
        <v>1080</v>
      </c>
      <c r="E30" s="5" t="s">
        <v>1096</v>
      </c>
      <c r="F30" s="5" t="s">
        <v>489</v>
      </c>
      <c r="G30" s="5" t="s">
        <v>455</v>
      </c>
      <c r="H30" s="5" t="s">
        <v>1097</v>
      </c>
      <c r="I30" s="5" t="s">
        <v>1098</v>
      </c>
      <c r="J30" s="35" t="s">
        <v>1085</v>
      </c>
      <c r="K30" s="21" t="s">
        <v>1086</v>
      </c>
      <c r="L30" s="24"/>
      <c r="M30" s="5"/>
      <c r="N30" s="5" t="s">
        <v>1087</v>
      </c>
    </row>
    <row r="31" spans="2:14" ht="18" customHeight="1" x14ac:dyDescent="0.2">
      <c r="B31" s="21">
        <v>23</v>
      </c>
      <c r="C31" s="1" t="s">
        <v>871</v>
      </c>
      <c r="D31" s="5" t="s">
        <v>1080</v>
      </c>
      <c r="E31" s="5" t="s">
        <v>1099</v>
      </c>
      <c r="F31" s="5" t="s">
        <v>1100</v>
      </c>
      <c r="G31" s="5" t="s">
        <v>455</v>
      </c>
      <c r="H31" s="5" t="s">
        <v>1101</v>
      </c>
      <c r="I31" s="5"/>
      <c r="J31" s="35" t="s">
        <v>1085</v>
      </c>
      <c r="K31" s="21" t="s">
        <v>1086</v>
      </c>
      <c r="L31" s="24"/>
      <c r="M31" s="5"/>
      <c r="N31" s="5" t="s">
        <v>1087</v>
      </c>
    </row>
    <row r="32" spans="2:14" ht="18" customHeight="1" x14ac:dyDescent="0.2">
      <c r="B32" s="21">
        <v>24</v>
      </c>
      <c r="C32" s="1" t="s">
        <v>871</v>
      </c>
      <c r="D32" s="5" t="s">
        <v>1080</v>
      </c>
      <c r="E32" s="5" t="s">
        <v>1102</v>
      </c>
      <c r="F32" s="5"/>
      <c r="G32" s="5" t="s">
        <v>501</v>
      </c>
      <c r="H32" s="5" t="s">
        <v>1103</v>
      </c>
      <c r="I32" s="5" t="s">
        <v>1104</v>
      </c>
      <c r="J32" s="35" t="s">
        <v>1085</v>
      </c>
      <c r="K32" s="21" t="s">
        <v>1086</v>
      </c>
      <c r="L32" s="24"/>
      <c r="M32" s="5"/>
      <c r="N32" s="5" t="s">
        <v>1087</v>
      </c>
    </row>
    <row r="33" spans="2:14" ht="18" customHeight="1" x14ac:dyDescent="0.2">
      <c r="B33" s="21">
        <v>25</v>
      </c>
      <c r="C33" s="1" t="s">
        <v>871</v>
      </c>
      <c r="D33" s="5" t="s">
        <v>1080</v>
      </c>
      <c r="E33" s="5" t="s">
        <v>1105</v>
      </c>
      <c r="F33" s="5"/>
      <c r="G33" s="5" t="s">
        <v>501</v>
      </c>
      <c r="H33" s="5" t="s">
        <v>1106</v>
      </c>
      <c r="I33" s="5" t="s">
        <v>1095</v>
      </c>
      <c r="J33" s="35" t="s">
        <v>1085</v>
      </c>
      <c r="K33" s="21" t="s">
        <v>1086</v>
      </c>
      <c r="L33" s="24"/>
      <c r="M33" s="5"/>
      <c r="N33" s="5" t="s">
        <v>1087</v>
      </c>
    </row>
    <row r="34" spans="2:14" ht="18" customHeight="1" x14ac:dyDescent="0.2">
      <c r="B34" s="21">
        <v>26</v>
      </c>
      <c r="C34" s="1" t="s">
        <v>1107</v>
      </c>
      <c r="D34" s="5" t="s">
        <v>1080</v>
      </c>
      <c r="E34" s="5" t="s">
        <v>1108</v>
      </c>
      <c r="F34" s="5" t="s">
        <v>1109</v>
      </c>
      <c r="G34" s="5" t="s">
        <v>565</v>
      </c>
      <c r="H34" s="5" t="s">
        <v>1110</v>
      </c>
      <c r="I34" s="5" t="s">
        <v>1111</v>
      </c>
      <c r="J34" s="35" t="s">
        <v>1112</v>
      </c>
      <c r="K34" s="21" t="s">
        <v>1048</v>
      </c>
      <c r="L34" s="24"/>
      <c r="M34" s="5"/>
      <c r="N34" s="5" t="s">
        <v>1087</v>
      </c>
    </row>
    <row r="35" spans="2:14" ht="18" customHeight="1" x14ac:dyDescent="0.2">
      <c r="B35" s="21">
        <v>27</v>
      </c>
      <c r="C35" s="1" t="s">
        <v>1107</v>
      </c>
      <c r="D35" s="5" t="s">
        <v>1080</v>
      </c>
      <c r="E35" s="5" t="s">
        <v>1113</v>
      </c>
      <c r="F35" s="5" t="s">
        <v>1114</v>
      </c>
      <c r="G35" s="5" t="s">
        <v>455</v>
      </c>
      <c r="H35" s="5" t="s">
        <v>1115</v>
      </c>
      <c r="I35" s="5" t="s">
        <v>1116</v>
      </c>
      <c r="J35" s="35" t="s">
        <v>1112</v>
      </c>
      <c r="K35" s="21" t="s">
        <v>1086</v>
      </c>
      <c r="L35" s="24"/>
      <c r="M35" s="5"/>
      <c r="N35" s="5" t="s">
        <v>1087</v>
      </c>
    </row>
    <row r="36" spans="2:14" ht="30" customHeight="1" x14ac:dyDescent="0.2">
      <c r="B36" s="21">
        <v>28</v>
      </c>
      <c r="C36" s="1" t="s">
        <v>1107</v>
      </c>
      <c r="D36" s="5" t="s">
        <v>1080</v>
      </c>
      <c r="E36" s="5" t="s">
        <v>1117</v>
      </c>
      <c r="F36" s="5"/>
      <c r="G36" s="5" t="s">
        <v>501</v>
      </c>
      <c r="H36" s="5" t="s">
        <v>1118</v>
      </c>
      <c r="I36" s="5" t="s">
        <v>1119</v>
      </c>
      <c r="J36" s="35" t="s">
        <v>1112</v>
      </c>
      <c r="K36" s="21" t="s">
        <v>1048</v>
      </c>
      <c r="L36" s="24"/>
      <c r="M36" s="5"/>
      <c r="N36" s="5" t="s">
        <v>1087</v>
      </c>
    </row>
    <row r="37" spans="2:14" ht="18" customHeight="1" x14ac:dyDescent="0.2">
      <c r="B37" s="21">
        <v>29</v>
      </c>
      <c r="C37" s="1" t="s">
        <v>1107</v>
      </c>
      <c r="D37" s="5" t="s">
        <v>1080</v>
      </c>
      <c r="E37" s="5" t="s">
        <v>1120</v>
      </c>
      <c r="F37" s="5"/>
      <c r="G37" s="5" t="s">
        <v>501</v>
      </c>
      <c r="H37" s="5" t="s">
        <v>1121</v>
      </c>
      <c r="I37" s="5" t="s">
        <v>1122</v>
      </c>
      <c r="J37" s="35" t="s">
        <v>1112</v>
      </c>
      <c r="K37" s="21" t="s">
        <v>1086</v>
      </c>
      <c r="L37" s="24"/>
      <c r="M37" s="5"/>
      <c r="N37" s="5" t="s">
        <v>1087</v>
      </c>
    </row>
    <row r="38" spans="2:14" ht="18" customHeight="1" x14ac:dyDescent="0.2">
      <c r="B38" s="21">
        <v>30</v>
      </c>
      <c r="C38" s="1" t="s">
        <v>1107</v>
      </c>
      <c r="D38" s="5" t="s">
        <v>1080</v>
      </c>
      <c r="E38" s="5" t="s">
        <v>1123</v>
      </c>
      <c r="F38" s="5"/>
      <c r="G38" s="5" t="s">
        <v>501</v>
      </c>
      <c r="H38" s="5" t="s">
        <v>1124</v>
      </c>
      <c r="I38" s="5" t="s">
        <v>1125</v>
      </c>
      <c r="J38" s="35" t="s">
        <v>1112</v>
      </c>
      <c r="K38" s="21" t="s">
        <v>1086</v>
      </c>
      <c r="L38" s="24"/>
      <c r="M38" s="5"/>
      <c r="N38" s="5" t="s">
        <v>1087</v>
      </c>
    </row>
    <row r="39" spans="2:14" ht="18" customHeight="1" x14ac:dyDescent="0.2">
      <c r="B39" s="21">
        <v>31</v>
      </c>
      <c r="C39" s="1" t="s">
        <v>889</v>
      </c>
      <c r="D39" s="5" t="s">
        <v>1080</v>
      </c>
      <c r="E39" s="5" t="s">
        <v>1126</v>
      </c>
      <c r="F39" s="5" t="s">
        <v>1127</v>
      </c>
      <c r="G39" s="5" t="s">
        <v>1046</v>
      </c>
      <c r="H39" s="5" t="s">
        <v>1128</v>
      </c>
      <c r="I39" s="5" t="s">
        <v>1129</v>
      </c>
      <c r="J39" s="35" t="s">
        <v>1085</v>
      </c>
      <c r="K39" s="21" t="s">
        <v>1048</v>
      </c>
      <c r="L39" s="24"/>
      <c r="M39" s="5"/>
      <c r="N39" s="5" t="s">
        <v>1087</v>
      </c>
    </row>
    <row r="40" spans="2:14" ht="18" customHeight="1" x14ac:dyDescent="0.2">
      <c r="B40" s="21">
        <v>32</v>
      </c>
      <c r="C40" s="1" t="s">
        <v>889</v>
      </c>
      <c r="D40" s="5" t="s">
        <v>1080</v>
      </c>
      <c r="E40" s="5" t="s">
        <v>1130</v>
      </c>
      <c r="F40" s="5" t="s">
        <v>1131</v>
      </c>
      <c r="G40" s="5" t="s">
        <v>565</v>
      </c>
      <c r="H40" s="5" t="s">
        <v>1132</v>
      </c>
      <c r="I40" s="5" t="s">
        <v>1133</v>
      </c>
      <c r="J40" s="35" t="s">
        <v>1085</v>
      </c>
      <c r="K40" s="21" t="s">
        <v>1048</v>
      </c>
      <c r="L40" s="24"/>
      <c r="M40" s="5"/>
      <c r="N40" s="5" t="s">
        <v>1087</v>
      </c>
    </row>
    <row r="41" spans="2:14" ht="18" customHeight="1" x14ac:dyDescent="0.2">
      <c r="B41" s="21">
        <v>33</v>
      </c>
      <c r="C41" s="1" t="s">
        <v>889</v>
      </c>
      <c r="D41" s="5" t="s">
        <v>1080</v>
      </c>
      <c r="E41" s="5" t="s">
        <v>1134</v>
      </c>
      <c r="F41" s="5"/>
      <c r="G41" s="5" t="s">
        <v>501</v>
      </c>
      <c r="H41" s="5"/>
      <c r="I41" s="5" t="s">
        <v>1135</v>
      </c>
      <c r="J41" s="35" t="s">
        <v>1085</v>
      </c>
      <c r="K41" s="21" t="s">
        <v>1048</v>
      </c>
      <c r="L41" s="24"/>
      <c r="M41" s="5"/>
      <c r="N41" s="5" t="s">
        <v>1087</v>
      </c>
    </row>
    <row r="42" spans="2:14" ht="18" customHeight="1" x14ac:dyDescent="0.2">
      <c r="B42" s="21">
        <v>34</v>
      </c>
      <c r="C42" s="1" t="s">
        <v>880</v>
      </c>
      <c r="D42" s="5" t="s">
        <v>1080</v>
      </c>
      <c r="E42" s="5" t="s">
        <v>1136</v>
      </c>
      <c r="F42" s="5"/>
      <c r="G42" s="5" t="s">
        <v>501</v>
      </c>
      <c r="H42" s="5" t="s">
        <v>1137</v>
      </c>
      <c r="I42" s="5" t="s">
        <v>1138</v>
      </c>
      <c r="J42" s="35" t="s">
        <v>1085</v>
      </c>
      <c r="K42" s="21" t="s">
        <v>1086</v>
      </c>
      <c r="L42" s="24"/>
      <c r="M42" s="5"/>
      <c r="N42" s="5" t="s">
        <v>1087</v>
      </c>
    </row>
    <row r="43" spans="2:14" ht="30" customHeight="1" x14ac:dyDescent="0.2">
      <c r="B43" s="21">
        <v>35</v>
      </c>
      <c r="C43" s="1" t="s">
        <v>884</v>
      </c>
      <c r="D43" s="5" t="s">
        <v>1080</v>
      </c>
      <c r="E43" s="5" t="s">
        <v>1139</v>
      </c>
      <c r="F43" s="5" t="s">
        <v>1131</v>
      </c>
      <c r="G43" s="5" t="s">
        <v>565</v>
      </c>
      <c r="H43" s="5" t="s">
        <v>1140</v>
      </c>
      <c r="I43" s="5" t="s">
        <v>1141</v>
      </c>
      <c r="J43" s="35" t="s">
        <v>1085</v>
      </c>
      <c r="K43" s="21" t="s">
        <v>1048</v>
      </c>
      <c r="L43" s="24"/>
      <c r="M43" s="5"/>
      <c r="N43" s="5" t="s">
        <v>1087</v>
      </c>
    </row>
    <row r="44" spans="2:14" ht="18" customHeight="1" x14ac:dyDescent="0.2">
      <c r="B44" s="21">
        <v>36</v>
      </c>
      <c r="C44" s="1" t="s">
        <v>899</v>
      </c>
      <c r="D44" s="5" t="s">
        <v>1080</v>
      </c>
      <c r="E44" s="5" t="s">
        <v>1142</v>
      </c>
      <c r="F44" s="5" t="s">
        <v>1143</v>
      </c>
      <c r="G44" s="5" t="s">
        <v>469</v>
      </c>
      <c r="H44" s="5" t="s">
        <v>1144</v>
      </c>
      <c r="I44" s="5" t="s">
        <v>1145</v>
      </c>
      <c r="J44" s="35" t="s">
        <v>1085</v>
      </c>
      <c r="K44" s="21" t="s">
        <v>1048</v>
      </c>
      <c r="L44" s="24"/>
      <c r="M44" s="5"/>
      <c r="N44" s="5" t="s">
        <v>1087</v>
      </c>
    </row>
    <row r="45" spans="2:14" ht="18" customHeight="1" x14ac:dyDescent="0.2">
      <c r="B45" s="21">
        <v>37</v>
      </c>
      <c r="C45" s="1" t="s">
        <v>899</v>
      </c>
      <c r="D45" s="5" t="s">
        <v>1080</v>
      </c>
      <c r="E45" s="5" t="s">
        <v>1146</v>
      </c>
      <c r="F45" s="5"/>
      <c r="G45" s="5" t="s">
        <v>501</v>
      </c>
      <c r="H45" s="5" t="s">
        <v>1147</v>
      </c>
      <c r="I45" s="5" t="s">
        <v>1148</v>
      </c>
      <c r="J45" s="35" t="s">
        <v>1085</v>
      </c>
      <c r="K45" s="21" t="s">
        <v>1048</v>
      </c>
      <c r="L45" s="24"/>
      <c r="M45" s="5"/>
      <c r="N45" s="5" t="s">
        <v>1087</v>
      </c>
    </row>
    <row r="46" spans="2:14" ht="18" customHeight="1" x14ac:dyDescent="0.2">
      <c r="B46" s="21">
        <v>38</v>
      </c>
      <c r="C46" s="1" t="s">
        <v>1149</v>
      </c>
      <c r="D46" s="5" t="s">
        <v>1080</v>
      </c>
      <c r="E46" s="5" t="s">
        <v>1150</v>
      </c>
      <c r="F46" s="5" t="s">
        <v>1151</v>
      </c>
      <c r="G46" s="5" t="s">
        <v>565</v>
      </c>
      <c r="H46" s="5" t="s">
        <v>1152</v>
      </c>
      <c r="I46" s="5" t="s">
        <v>1153</v>
      </c>
      <c r="J46" s="35" t="s">
        <v>1154</v>
      </c>
      <c r="K46" s="21" t="s">
        <v>1086</v>
      </c>
      <c r="L46" s="24"/>
      <c r="M46" s="5"/>
      <c r="N46" s="5" t="s">
        <v>1087</v>
      </c>
    </row>
    <row r="47" spans="2:14" ht="18" customHeight="1" x14ac:dyDescent="0.2">
      <c r="B47" s="21">
        <v>39</v>
      </c>
      <c r="C47" s="1" t="s">
        <v>1149</v>
      </c>
      <c r="D47" s="5" t="s">
        <v>1080</v>
      </c>
      <c r="E47" s="5" t="s">
        <v>1155</v>
      </c>
      <c r="F47" s="5" t="s">
        <v>1156</v>
      </c>
      <c r="G47" s="5" t="s">
        <v>565</v>
      </c>
      <c r="H47" s="5"/>
      <c r="I47" s="5" t="s">
        <v>1157</v>
      </c>
      <c r="J47" s="35" t="s">
        <v>1154</v>
      </c>
      <c r="K47" s="21" t="s">
        <v>1048</v>
      </c>
      <c r="L47" s="24"/>
      <c r="M47" s="5"/>
      <c r="N47" s="5" t="s">
        <v>1087</v>
      </c>
    </row>
    <row r="48" spans="2:14" ht="18" customHeight="1" x14ac:dyDescent="0.2">
      <c r="B48" s="21">
        <v>40</v>
      </c>
      <c r="C48" s="1" t="s">
        <v>873</v>
      </c>
      <c r="D48" s="5" t="s">
        <v>1080</v>
      </c>
      <c r="E48" s="5" t="s">
        <v>1158</v>
      </c>
      <c r="F48" s="5" t="s">
        <v>406</v>
      </c>
      <c r="G48" s="5" t="s">
        <v>469</v>
      </c>
      <c r="H48" s="5" t="s">
        <v>1159</v>
      </c>
      <c r="I48" s="5" t="s">
        <v>1160</v>
      </c>
      <c r="J48" s="35" t="s">
        <v>1085</v>
      </c>
      <c r="K48" s="21" t="s">
        <v>1048</v>
      </c>
      <c r="L48" s="24"/>
      <c r="M48" s="5"/>
      <c r="N48" s="5" t="s">
        <v>1087</v>
      </c>
    </row>
    <row r="49" spans="2:14" ht="18" customHeight="1" x14ac:dyDescent="0.2">
      <c r="B49" s="21">
        <v>41</v>
      </c>
      <c r="C49" s="1" t="s">
        <v>873</v>
      </c>
      <c r="D49" s="5" t="s">
        <v>1080</v>
      </c>
      <c r="E49" s="5" t="s">
        <v>1161</v>
      </c>
      <c r="F49" s="5" t="s">
        <v>1162</v>
      </c>
      <c r="G49" s="5" t="s">
        <v>1046</v>
      </c>
      <c r="H49" s="5" t="s">
        <v>1163</v>
      </c>
      <c r="I49" s="5" t="s">
        <v>1164</v>
      </c>
      <c r="J49" s="35" t="s">
        <v>1085</v>
      </c>
      <c r="K49" s="21" t="s">
        <v>1086</v>
      </c>
      <c r="L49" s="24"/>
      <c r="M49" s="5"/>
      <c r="N49" s="5" t="s">
        <v>1087</v>
      </c>
    </row>
    <row r="50" spans="2:14" ht="18" customHeight="1" x14ac:dyDescent="0.2">
      <c r="B50" s="21">
        <v>42</v>
      </c>
      <c r="C50" s="1" t="s">
        <v>873</v>
      </c>
      <c r="D50" s="5" t="s">
        <v>1080</v>
      </c>
      <c r="E50" s="5" t="s">
        <v>1165</v>
      </c>
      <c r="F50" s="5" t="s">
        <v>1166</v>
      </c>
      <c r="G50" s="5" t="s">
        <v>475</v>
      </c>
      <c r="H50" s="5" t="s">
        <v>1167</v>
      </c>
      <c r="I50" s="5" t="s">
        <v>1168</v>
      </c>
      <c r="J50" s="35" t="s">
        <v>1085</v>
      </c>
      <c r="K50" s="21" t="s">
        <v>1048</v>
      </c>
      <c r="L50" s="24"/>
      <c r="M50" s="5"/>
      <c r="N50" s="5" t="s">
        <v>1087</v>
      </c>
    </row>
    <row r="51" spans="2:14" ht="30" customHeight="1" x14ac:dyDescent="0.2">
      <c r="B51" s="21">
        <v>43</v>
      </c>
      <c r="C51" s="1" t="s">
        <v>873</v>
      </c>
      <c r="D51" s="5" t="s">
        <v>1080</v>
      </c>
      <c r="E51" s="5" t="s">
        <v>1169</v>
      </c>
      <c r="F51" s="5" t="s">
        <v>1170</v>
      </c>
      <c r="G51" s="5" t="s">
        <v>455</v>
      </c>
      <c r="H51" s="5" t="s">
        <v>1171</v>
      </c>
      <c r="I51" s="5" t="s">
        <v>1172</v>
      </c>
      <c r="J51" s="35" t="s">
        <v>1085</v>
      </c>
      <c r="K51" s="21" t="s">
        <v>1086</v>
      </c>
      <c r="L51" s="24"/>
      <c r="M51" s="5"/>
      <c r="N51" s="5" t="s">
        <v>1087</v>
      </c>
    </row>
    <row r="52" spans="2:14" ht="18" customHeight="1" x14ac:dyDescent="0.2">
      <c r="B52" s="21">
        <v>44</v>
      </c>
      <c r="C52" s="1" t="s">
        <v>1173</v>
      </c>
      <c r="D52" s="5" t="s">
        <v>1080</v>
      </c>
      <c r="E52" s="5" t="s">
        <v>1174</v>
      </c>
      <c r="F52" s="5" t="s">
        <v>1131</v>
      </c>
      <c r="G52" s="5" t="s">
        <v>565</v>
      </c>
      <c r="H52" s="5" t="s">
        <v>1175</v>
      </c>
      <c r="I52" s="5" t="s">
        <v>1176</v>
      </c>
      <c r="J52" s="35" t="s">
        <v>1177</v>
      </c>
      <c r="K52" s="21" t="s">
        <v>1048</v>
      </c>
      <c r="L52" s="24"/>
      <c r="M52" s="5"/>
      <c r="N52" s="5" t="s">
        <v>1087</v>
      </c>
    </row>
    <row r="53" spans="2:14" ht="18" customHeight="1" x14ac:dyDescent="0.2">
      <c r="B53" s="21">
        <v>45</v>
      </c>
      <c r="C53" s="1" t="s">
        <v>1173</v>
      </c>
      <c r="D53" s="5" t="s">
        <v>1080</v>
      </c>
      <c r="E53" s="5" t="s">
        <v>1178</v>
      </c>
      <c r="F53" s="5" t="s">
        <v>1179</v>
      </c>
      <c r="G53" s="5" t="s">
        <v>455</v>
      </c>
      <c r="H53" s="5" t="s">
        <v>1180</v>
      </c>
      <c r="I53" s="5" t="s">
        <v>1181</v>
      </c>
      <c r="J53" s="35" t="s">
        <v>1177</v>
      </c>
      <c r="K53" s="21" t="s">
        <v>1048</v>
      </c>
      <c r="L53" s="24"/>
      <c r="M53" s="5"/>
      <c r="N53" s="5" t="s">
        <v>1087</v>
      </c>
    </row>
    <row r="54" spans="2:14" ht="18" customHeight="1" x14ac:dyDescent="0.2">
      <c r="B54" s="21">
        <v>46</v>
      </c>
      <c r="C54" s="1" t="s">
        <v>1173</v>
      </c>
      <c r="D54" s="5" t="s">
        <v>1080</v>
      </c>
      <c r="E54" s="5" t="s">
        <v>1182</v>
      </c>
      <c r="F54" s="5" t="s">
        <v>1183</v>
      </c>
      <c r="G54" s="5" t="s">
        <v>455</v>
      </c>
      <c r="H54" s="5" t="s">
        <v>1184</v>
      </c>
      <c r="I54" s="5" t="s">
        <v>1185</v>
      </c>
      <c r="J54" s="35" t="s">
        <v>1177</v>
      </c>
      <c r="K54" s="21" t="s">
        <v>1048</v>
      </c>
      <c r="L54" s="24"/>
      <c r="M54" s="5"/>
      <c r="N54" s="5" t="s">
        <v>1087</v>
      </c>
    </row>
    <row r="55" spans="2:14" ht="18" customHeight="1" x14ac:dyDescent="0.2">
      <c r="B55" s="21">
        <v>47</v>
      </c>
      <c r="C55" s="1" t="s">
        <v>869</v>
      </c>
      <c r="D55" s="5" t="s">
        <v>1080</v>
      </c>
      <c r="E55" s="5" t="s">
        <v>1186</v>
      </c>
      <c r="F55" s="5"/>
      <c r="G55" s="5" t="s">
        <v>501</v>
      </c>
      <c r="H55" s="5" t="s">
        <v>1187</v>
      </c>
      <c r="I55" s="5" t="s">
        <v>1188</v>
      </c>
      <c r="J55" s="35" t="s">
        <v>1085</v>
      </c>
      <c r="K55" s="21" t="s">
        <v>1048</v>
      </c>
      <c r="L55" s="24"/>
      <c r="M55" s="5"/>
      <c r="N55" s="5" t="s">
        <v>1087</v>
      </c>
    </row>
    <row r="56" spans="2:14" ht="18" customHeight="1" x14ac:dyDescent="0.2">
      <c r="B56" s="21">
        <v>48</v>
      </c>
      <c r="C56" s="1" t="s">
        <v>869</v>
      </c>
      <c r="D56" s="5" t="s">
        <v>1080</v>
      </c>
      <c r="E56" s="5" t="s">
        <v>1189</v>
      </c>
      <c r="F56" s="5"/>
      <c r="G56" s="5" t="s">
        <v>501</v>
      </c>
      <c r="H56" s="5" t="s">
        <v>1190</v>
      </c>
      <c r="I56" s="5" t="s">
        <v>1191</v>
      </c>
      <c r="J56" s="35" t="s">
        <v>1085</v>
      </c>
      <c r="K56" s="21" t="s">
        <v>1048</v>
      </c>
      <c r="L56" s="24"/>
      <c r="M56" s="5"/>
      <c r="N56" s="5" t="s">
        <v>1087</v>
      </c>
    </row>
    <row r="57" spans="2:14" ht="18" customHeight="1" x14ac:dyDescent="0.2">
      <c r="B57" s="21">
        <v>49</v>
      </c>
      <c r="C57" s="1" t="s">
        <v>875</v>
      </c>
      <c r="D57" s="5" t="s">
        <v>1080</v>
      </c>
      <c r="E57" s="5" t="s">
        <v>1192</v>
      </c>
      <c r="F57" s="5" t="s">
        <v>1193</v>
      </c>
      <c r="G57" s="5" t="s">
        <v>475</v>
      </c>
      <c r="H57" s="5" t="s">
        <v>1194</v>
      </c>
      <c r="I57" s="5" t="s">
        <v>1195</v>
      </c>
      <c r="J57" s="35" t="s">
        <v>1085</v>
      </c>
      <c r="K57" s="21" t="s">
        <v>1048</v>
      </c>
      <c r="L57" s="24"/>
      <c r="M57" s="5"/>
      <c r="N57" s="5" t="s">
        <v>1087</v>
      </c>
    </row>
    <row r="58" spans="2:14" ht="30" customHeight="1" x14ac:dyDescent="0.2">
      <c r="B58" s="21">
        <v>50</v>
      </c>
      <c r="C58" s="1" t="s">
        <v>875</v>
      </c>
      <c r="D58" s="5" t="s">
        <v>1080</v>
      </c>
      <c r="E58" s="5" t="s">
        <v>1196</v>
      </c>
      <c r="F58" s="5" t="s">
        <v>1197</v>
      </c>
      <c r="G58" s="5" t="s">
        <v>475</v>
      </c>
      <c r="H58" s="5" t="s">
        <v>1198</v>
      </c>
      <c r="I58" s="5" t="s">
        <v>1199</v>
      </c>
      <c r="J58" s="35" t="s">
        <v>1085</v>
      </c>
      <c r="K58" s="21" t="s">
        <v>1048</v>
      </c>
      <c r="L58" s="24"/>
      <c r="M58" s="5"/>
      <c r="N58" s="5" t="s">
        <v>1087</v>
      </c>
    </row>
    <row r="59" spans="2:14" ht="18" customHeight="1" x14ac:dyDescent="0.2">
      <c r="B59" s="21">
        <v>51</v>
      </c>
      <c r="C59" s="1" t="s">
        <v>875</v>
      </c>
      <c r="D59" s="5" t="s">
        <v>1080</v>
      </c>
      <c r="E59" s="5" t="s">
        <v>1200</v>
      </c>
      <c r="F59" s="5" t="s">
        <v>474</v>
      </c>
      <c r="G59" s="5" t="s">
        <v>475</v>
      </c>
      <c r="H59" s="5" t="s">
        <v>1201</v>
      </c>
      <c r="I59" s="5" t="s">
        <v>1202</v>
      </c>
      <c r="J59" s="35" t="s">
        <v>1085</v>
      </c>
      <c r="K59" s="21" t="s">
        <v>1048</v>
      </c>
      <c r="L59" s="24"/>
      <c r="M59" s="5"/>
      <c r="N59" s="5" t="s">
        <v>1087</v>
      </c>
    </row>
    <row r="60" spans="2:14" ht="18" customHeight="1" x14ac:dyDescent="0.2">
      <c r="B60" s="21">
        <v>52</v>
      </c>
      <c r="C60" s="1" t="s">
        <v>875</v>
      </c>
      <c r="D60" s="5" t="s">
        <v>1080</v>
      </c>
      <c r="E60" s="5" t="s">
        <v>1203</v>
      </c>
      <c r="F60" s="5" t="s">
        <v>1204</v>
      </c>
      <c r="G60" s="5" t="s">
        <v>481</v>
      </c>
      <c r="H60" s="5" t="s">
        <v>1205</v>
      </c>
      <c r="I60" s="5" t="s">
        <v>1206</v>
      </c>
      <c r="J60" s="35" t="s">
        <v>1085</v>
      </c>
      <c r="K60" s="21" t="s">
        <v>1048</v>
      </c>
      <c r="L60" s="24"/>
      <c r="M60" s="5"/>
      <c r="N60" s="5" t="s">
        <v>1087</v>
      </c>
    </row>
    <row r="61" spans="2:14" ht="18" customHeight="1" x14ac:dyDescent="0.2">
      <c r="B61" s="21">
        <v>53</v>
      </c>
      <c r="C61" s="1" t="s">
        <v>875</v>
      </c>
      <c r="D61" s="5" t="s">
        <v>1080</v>
      </c>
      <c r="E61" s="5" t="s">
        <v>1207</v>
      </c>
      <c r="F61" s="5" t="s">
        <v>1208</v>
      </c>
      <c r="G61" s="5" t="s">
        <v>455</v>
      </c>
      <c r="H61" s="5" t="s">
        <v>1209</v>
      </c>
      <c r="I61" s="5" t="s">
        <v>1210</v>
      </c>
      <c r="J61" s="35" t="s">
        <v>1085</v>
      </c>
      <c r="K61" s="21" t="s">
        <v>1048</v>
      </c>
      <c r="L61" s="24"/>
      <c r="M61" s="5"/>
      <c r="N61" s="5" t="s">
        <v>1087</v>
      </c>
    </row>
    <row r="62" spans="2:14" ht="18" customHeight="1" x14ac:dyDescent="0.2">
      <c r="B62" s="21">
        <v>54</v>
      </c>
      <c r="C62" s="1" t="s">
        <v>875</v>
      </c>
      <c r="D62" s="5" t="s">
        <v>1080</v>
      </c>
      <c r="E62" s="5" t="s">
        <v>1211</v>
      </c>
      <c r="F62" s="5"/>
      <c r="G62" s="5" t="s">
        <v>501</v>
      </c>
      <c r="H62" s="5"/>
      <c r="I62" s="5" t="s">
        <v>1212</v>
      </c>
      <c r="J62" s="35" t="s">
        <v>1085</v>
      </c>
      <c r="K62" s="21" t="s">
        <v>1048</v>
      </c>
      <c r="L62" s="24"/>
      <c r="M62" s="5"/>
      <c r="N62" s="5" t="s">
        <v>1087</v>
      </c>
    </row>
    <row r="63" spans="2:14" ht="18" customHeight="1" x14ac:dyDescent="0.2">
      <c r="B63" s="21">
        <v>55</v>
      </c>
      <c r="C63" s="1" t="s">
        <v>792</v>
      </c>
      <c r="D63" s="5" t="s">
        <v>1080</v>
      </c>
      <c r="E63" s="5" t="s">
        <v>1213</v>
      </c>
      <c r="F63" s="5" t="s">
        <v>406</v>
      </c>
      <c r="G63" s="5" t="s">
        <v>469</v>
      </c>
      <c r="H63" s="5" t="s">
        <v>1214</v>
      </c>
      <c r="I63" s="5" t="s">
        <v>1215</v>
      </c>
      <c r="J63" s="35" t="s">
        <v>1216</v>
      </c>
      <c r="K63" s="21" t="s">
        <v>1048</v>
      </c>
      <c r="L63" s="24"/>
      <c r="M63" s="5"/>
      <c r="N63" s="5" t="s">
        <v>1087</v>
      </c>
    </row>
    <row r="64" spans="2:14" ht="18" customHeight="1" x14ac:dyDescent="0.2">
      <c r="B64" s="21">
        <v>56</v>
      </c>
      <c r="C64" s="1" t="s">
        <v>792</v>
      </c>
      <c r="D64" s="5" t="s">
        <v>1080</v>
      </c>
      <c r="E64" s="5" t="s">
        <v>1217</v>
      </c>
      <c r="F64" s="5" t="s">
        <v>1218</v>
      </c>
      <c r="G64" s="5" t="s">
        <v>469</v>
      </c>
      <c r="H64" s="5" t="s">
        <v>1219</v>
      </c>
      <c r="I64" s="5" t="s">
        <v>1220</v>
      </c>
      <c r="J64" s="35" t="s">
        <v>1216</v>
      </c>
      <c r="K64" s="21" t="s">
        <v>1048</v>
      </c>
      <c r="L64" s="24"/>
      <c r="M64" s="5"/>
      <c r="N64" s="5" t="s">
        <v>1087</v>
      </c>
    </row>
    <row r="65" spans="2:14" ht="18" customHeight="1" x14ac:dyDescent="0.2">
      <c r="B65" s="21">
        <v>57</v>
      </c>
      <c r="C65" s="1" t="s">
        <v>792</v>
      </c>
      <c r="D65" s="5" t="s">
        <v>1080</v>
      </c>
      <c r="E65" s="5" t="s">
        <v>1221</v>
      </c>
      <c r="F65" s="5" t="s">
        <v>1222</v>
      </c>
      <c r="G65" s="5" t="s">
        <v>565</v>
      </c>
      <c r="H65" s="5" t="s">
        <v>1223</v>
      </c>
      <c r="I65" s="5" t="s">
        <v>1224</v>
      </c>
      <c r="J65" s="35" t="s">
        <v>1216</v>
      </c>
      <c r="K65" s="21" t="s">
        <v>1086</v>
      </c>
      <c r="L65" s="24"/>
      <c r="M65" s="5"/>
      <c r="N65" s="5" t="s">
        <v>1087</v>
      </c>
    </row>
    <row r="66" spans="2:14" ht="18" customHeight="1" x14ac:dyDescent="0.2">
      <c r="B66" s="21">
        <v>58</v>
      </c>
      <c r="C66" s="1" t="s">
        <v>792</v>
      </c>
      <c r="D66" s="5" t="s">
        <v>1080</v>
      </c>
      <c r="E66" s="5" t="s">
        <v>1225</v>
      </c>
      <c r="F66" s="5" t="s">
        <v>1226</v>
      </c>
      <c r="G66" s="5" t="s">
        <v>481</v>
      </c>
      <c r="H66" s="5" t="s">
        <v>1227</v>
      </c>
      <c r="I66" s="5" t="s">
        <v>1228</v>
      </c>
      <c r="J66" s="35" t="s">
        <v>1216</v>
      </c>
      <c r="K66" s="21" t="s">
        <v>1086</v>
      </c>
      <c r="L66" s="24"/>
      <c r="M66" s="5"/>
      <c r="N66" s="5" t="s">
        <v>1087</v>
      </c>
    </row>
    <row r="67" spans="2:14" ht="30" customHeight="1" x14ac:dyDescent="0.2">
      <c r="B67" s="21">
        <v>59</v>
      </c>
      <c r="C67" s="1" t="s">
        <v>792</v>
      </c>
      <c r="D67" s="5" t="s">
        <v>1080</v>
      </c>
      <c r="E67" s="5" t="s">
        <v>1229</v>
      </c>
      <c r="F67" s="5" t="s">
        <v>1230</v>
      </c>
      <c r="G67" s="5" t="s">
        <v>481</v>
      </c>
      <c r="H67" s="5" t="s">
        <v>1231</v>
      </c>
      <c r="I67" s="5" t="s">
        <v>1232</v>
      </c>
      <c r="J67" s="35" t="s">
        <v>1216</v>
      </c>
      <c r="K67" s="21" t="s">
        <v>1048</v>
      </c>
      <c r="L67" s="24"/>
      <c r="M67" s="5"/>
      <c r="N67" s="5" t="s">
        <v>1087</v>
      </c>
    </row>
    <row r="68" spans="2:14" ht="18" customHeight="1" x14ac:dyDescent="0.2">
      <c r="B68" s="21">
        <v>60</v>
      </c>
      <c r="C68" s="1" t="s">
        <v>792</v>
      </c>
      <c r="D68" s="5" t="s">
        <v>1080</v>
      </c>
      <c r="E68" s="5" t="s">
        <v>1233</v>
      </c>
      <c r="F68" s="5" t="s">
        <v>1234</v>
      </c>
      <c r="G68" s="5" t="s">
        <v>455</v>
      </c>
      <c r="H68" s="5" t="s">
        <v>1235</v>
      </c>
      <c r="I68" s="5" t="s">
        <v>1236</v>
      </c>
      <c r="J68" s="35" t="s">
        <v>1216</v>
      </c>
      <c r="K68" s="21" t="s">
        <v>1048</v>
      </c>
      <c r="L68" s="24"/>
      <c r="M68" s="5"/>
      <c r="N68" s="5" t="s">
        <v>1087</v>
      </c>
    </row>
    <row r="69" spans="2:14" ht="18" customHeight="1" x14ac:dyDescent="0.2">
      <c r="B69" s="21">
        <v>61</v>
      </c>
      <c r="C69" s="1" t="s">
        <v>792</v>
      </c>
      <c r="D69" s="5" t="s">
        <v>1080</v>
      </c>
      <c r="E69" s="5" t="s">
        <v>1237</v>
      </c>
      <c r="F69" s="5" t="s">
        <v>1238</v>
      </c>
      <c r="G69" s="5" t="s">
        <v>497</v>
      </c>
      <c r="H69" s="5" t="s">
        <v>1239</v>
      </c>
      <c r="I69" s="5" t="s">
        <v>1240</v>
      </c>
      <c r="J69" s="35" t="s">
        <v>1216</v>
      </c>
      <c r="K69" s="21" t="s">
        <v>1086</v>
      </c>
      <c r="L69" s="24"/>
      <c r="M69" s="5"/>
      <c r="N69" s="5" t="s">
        <v>1087</v>
      </c>
    </row>
    <row r="70" spans="2:14" ht="18" customHeight="1" x14ac:dyDescent="0.2">
      <c r="B70" s="21">
        <v>62</v>
      </c>
      <c r="C70" s="1" t="s">
        <v>882</v>
      </c>
      <c r="D70" s="5" t="s">
        <v>1080</v>
      </c>
      <c r="E70" s="5" t="s">
        <v>1241</v>
      </c>
      <c r="F70" s="5" t="s">
        <v>406</v>
      </c>
      <c r="G70" s="5" t="s">
        <v>469</v>
      </c>
      <c r="H70" s="5" t="s">
        <v>1242</v>
      </c>
      <c r="I70" s="5" t="s">
        <v>1243</v>
      </c>
      <c r="J70" s="35" t="s">
        <v>1085</v>
      </c>
      <c r="K70" s="21" t="s">
        <v>1086</v>
      </c>
      <c r="L70" s="24"/>
      <c r="M70" s="5"/>
      <c r="N70" s="5" t="s">
        <v>1087</v>
      </c>
    </row>
    <row r="71" spans="2:14" ht="18" customHeight="1" x14ac:dyDescent="0.2">
      <c r="B71" s="21">
        <v>63</v>
      </c>
      <c r="C71" s="1" t="s">
        <v>882</v>
      </c>
      <c r="D71" s="5" t="s">
        <v>1080</v>
      </c>
      <c r="E71" s="5" t="s">
        <v>1244</v>
      </c>
      <c r="F71" s="5" t="s">
        <v>1245</v>
      </c>
      <c r="G71" s="5" t="s">
        <v>565</v>
      </c>
      <c r="H71" s="5" t="s">
        <v>1246</v>
      </c>
      <c r="I71" s="5" t="s">
        <v>1247</v>
      </c>
      <c r="J71" s="35" t="s">
        <v>1085</v>
      </c>
      <c r="K71" s="21" t="s">
        <v>1086</v>
      </c>
      <c r="L71" s="24"/>
      <c r="M71" s="5"/>
      <c r="N71" s="5" t="s">
        <v>1087</v>
      </c>
    </row>
    <row r="72" spans="2:14" ht="30" customHeight="1" x14ac:dyDescent="0.2">
      <c r="B72" s="21">
        <v>64</v>
      </c>
      <c r="C72" s="1" t="s">
        <v>882</v>
      </c>
      <c r="D72" s="5" t="s">
        <v>1080</v>
      </c>
      <c r="E72" s="5" t="s">
        <v>1248</v>
      </c>
      <c r="F72" s="5" t="s">
        <v>1249</v>
      </c>
      <c r="G72" s="5" t="s">
        <v>455</v>
      </c>
      <c r="H72" s="5" t="s">
        <v>1250</v>
      </c>
      <c r="I72" s="5" t="s">
        <v>1251</v>
      </c>
      <c r="J72" s="35" t="s">
        <v>1085</v>
      </c>
      <c r="K72" s="21" t="s">
        <v>1086</v>
      </c>
      <c r="L72" s="24"/>
      <c r="M72" s="5"/>
      <c r="N72" s="5" t="s">
        <v>1087</v>
      </c>
    </row>
    <row r="73" spans="2:14" ht="18" customHeight="1" x14ac:dyDescent="0.2">
      <c r="B73" s="21">
        <v>65</v>
      </c>
      <c r="C73" s="1" t="s">
        <v>1252</v>
      </c>
      <c r="D73" s="5" t="s">
        <v>1080</v>
      </c>
      <c r="E73" s="5" t="s">
        <v>1253</v>
      </c>
      <c r="F73" s="5" t="s">
        <v>1254</v>
      </c>
      <c r="G73" s="5" t="s">
        <v>469</v>
      </c>
      <c r="H73" s="5" t="s">
        <v>1255</v>
      </c>
      <c r="I73" s="5" t="s">
        <v>1256</v>
      </c>
      <c r="J73" s="35" t="s">
        <v>1257</v>
      </c>
      <c r="K73" s="21" t="s">
        <v>1048</v>
      </c>
      <c r="L73" s="24"/>
      <c r="M73" s="5"/>
      <c r="N73" s="5" t="s">
        <v>1087</v>
      </c>
    </row>
    <row r="74" spans="2:14" ht="18" customHeight="1" x14ac:dyDescent="0.2">
      <c r="B74" s="21">
        <v>66</v>
      </c>
      <c r="C74" s="1" t="s">
        <v>1252</v>
      </c>
      <c r="D74" s="5" t="s">
        <v>1080</v>
      </c>
      <c r="E74" s="5" t="s">
        <v>1258</v>
      </c>
      <c r="F74" s="5" t="s">
        <v>1259</v>
      </c>
      <c r="G74" s="5" t="s">
        <v>469</v>
      </c>
      <c r="H74" s="5" t="s">
        <v>1260</v>
      </c>
      <c r="I74" s="5" t="s">
        <v>1261</v>
      </c>
      <c r="J74" s="35" t="s">
        <v>1257</v>
      </c>
      <c r="K74" s="21" t="s">
        <v>1048</v>
      </c>
      <c r="L74" s="24"/>
      <c r="M74" s="5"/>
      <c r="N74" s="5" t="s">
        <v>1087</v>
      </c>
    </row>
    <row r="75" spans="2:14" ht="18" customHeight="1" x14ac:dyDescent="0.2">
      <c r="B75" s="21">
        <v>67</v>
      </c>
      <c r="C75" s="1" t="s">
        <v>1252</v>
      </c>
      <c r="D75" s="5" t="s">
        <v>1080</v>
      </c>
      <c r="E75" s="5" t="s">
        <v>1262</v>
      </c>
      <c r="F75" s="5" t="s">
        <v>474</v>
      </c>
      <c r="G75" s="5" t="s">
        <v>475</v>
      </c>
      <c r="H75" s="5" t="s">
        <v>1263</v>
      </c>
      <c r="I75" s="5" t="s">
        <v>1264</v>
      </c>
      <c r="J75" s="35" t="s">
        <v>1257</v>
      </c>
      <c r="K75" s="21" t="s">
        <v>1048</v>
      </c>
      <c r="L75" s="24"/>
      <c r="M75" s="5"/>
      <c r="N75" s="5" t="s">
        <v>1087</v>
      </c>
    </row>
    <row r="76" spans="2:14" ht="18" customHeight="1" x14ac:dyDescent="0.2">
      <c r="B76" s="21">
        <v>68</v>
      </c>
      <c r="C76" s="1" t="s">
        <v>1252</v>
      </c>
      <c r="D76" s="5" t="s">
        <v>1080</v>
      </c>
      <c r="E76" s="5" t="s">
        <v>1265</v>
      </c>
      <c r="F76" s="5" t="s">
        <v>1266</v>
      </c>
      <c r="G76" s="5" t="s">
        <v>565</v>
      </c>
      <c r="H76" s="5" t="s">
        <v>1267</v>
      </c>
      <c r="I76" s="5" t="s">
        <v>1268</v>
      </c>
      <c r="J76" s="35" t="s">
        <v>1257</v>
      </c>
      <c r="K76" s="21" t="s">
        <v>1048</v>
      </c>
      <c r="L76" s="24"/>
      <c r="M76" s="5"/>
      <c r="N76" s="5" t="s">
        <v>1087</v>
      </c>
    </row>
    <row r="77" spans="2:14" ht="18" customHeight="1" x14ac:dyDescent="0.2">
      <c r="B77" s="21">
        <v>69</v>
      </c>
      <c r="C77" s="1" t="s">
        <v>1252</v>
      </c>
      <c r="D77" s="5" t="s">
        <v>1080</v>
      </c>
      <c r="E77" s="5" t="s">
        <v>1269</v>
      </c>
      <c r="F77" s="5" t="s">
        <v>1270</v>
      </c>
      <c r="G77" s="5" t="s">
        <v>565</v>
      </c>
      <c r="H77" s="5" t="s">
        <v>1271</v>
      </c>
      <c r="I77" s="5" t="s">
        <v>1272</v>
      </c>
      <c r="J77" s="35" t="s">
        <v>1257</v>
      </c>
      <c r="K77" s="21" t="s">
        <v>1048</v>
      </c>
      <c r="L77" s="24"/>
      <c r="M77" s="5"/>
      <c r="N77" s="5" t="s">
        <v>1087</v>
      </c>
    </row>
    <row r="78" spans="2:14" ht="18" customHeight="1" x14ac:dyDescent="0.2">
      <c r="B78" s="21">
        <v>70</v>
      </c>
      <c r="C78" s="1" t="s">
        <v>1252</v>
      </c>
      <c r="D78" s="5" t="s">
        <v>1080</v>
      </c>
      <c r="E78" s="5" t="s">
        <v>1273</v>
      </c>
      <c r="F78" s="5" t="s">
        <v>1270</v>
      </c>
      <c r="G78" s="5" t="s">
        <v>565</v>
      </c>
      <c r="H78" s="5" t="s">
        <v>1274</v>
      </c>
      <c r="I78" s="5" t="s">
        <v>1275</v>
      </c>
      <c r="J78" s="35" t="s">
        <v>1257</v>
      </c>
      <c r="K78" s="21" t="s">
        <v>1048</v>
      </c>
      <c r="L78" s="24"/>
      <c r="M78" s="5"/>
      <c r="N78" s="5" t="s">
        <v>1087</v>
      </c>
    </row>
    <row r="79" spans="2:14" ht="18" customHeight="1" x14ac:dyDescent="0.2">
      <c r="B79" s="21">
        <v>71</v>
      </c>
      <c r="C79" s="1" t="s">
        <v>1252</v>
      </c>
      <c r="D79" s="5" t="s">
        <v>1080</v>
      </c>
      <c r="E79" s="5" t="s">
        <v>1276</v>
      </c>
      <c r="F79" s="5" t="s">
        <v>1277</v>
      </c>
      <c r="G79" s="5" t="s">
        <v>481</v>
      </c>
      <c r="H79" s="5" t="s">
        <v>1278</v>
      </c>
      <c r="I79" s="5" t="s">
        <v>1279</v>
      </c>
      <c r="J79" s="35" t="s">
        <v>1257</v>
      </c>
      <c r="K79" s="21" t="s">
        <v>1086</v>
      </c>
      <c r="L79" s="24"/>
      <c r="M79" s="5"/>
      <c r="N79" s="5" t="s">
        <v>1087</v>
      </c>
    </row>
    <row r="80" spans="2:14" ht="18" customHeight="1" x14ac:dyDescent="0.2">
      <c r="B80" s="21">
        <v>72</v>
      </c>
      <c r="C80" s="1" t="s">
        <v>1252</v>
      </c>
      <c r="D80" s="5" t="s">
        <v>1080</v>
      </c>
      <c r="E80" s="5" t="s">
        <v>1280</v>
      </c>
      <c r="F80" s="5" t="s">
        <v>1281</v>
      </c>
      <c r="G80" s="5" t="s">
        <v>455</v>
      </c>
      <c r="H80" s="5" t="s">
        <v>1282</v>
      </c>
      <c r="I80" s="5" t="s">
        <v>1283</v>
      </c>
      <c r="J80" s="35" t="s">
        <v>1257</v>
      </c>
      <c r="K80" s="21" t="s">
        <v>1086</v>
      </c>
      <c r="L80" s="24"/>
      <c r="M80" s="5"/>
      <c r="N80" s="5" t="s">
        <v>1087</v>
      </c>
    </row>
    <row r="81" spans="2:14" ht="18" customHeight="1" x14ac:dyDescent="0.2">
      <c r="B81" s="21">
        <v>73</v>
      </c>
      <c r="C81" s="1" t="s">
        <v>1284</v>
      </c>
      <c r="D81" s="5" t="s">
        <v>1080</v>
      </c>
      <c r="E81" s="5" t="s">
        <v>1285</v>
      </c>
      <c r="F81" s="5" t="s">
        <v>489</v>
      </c>
      <c r="G81" s="5" t="s">
        <v>455</v>
      </c>
      <c r="H81" s="5" t="s">
        <v>1286</v>
      </c>
      <c r="I81" s="5"/>
      <c r="J81" s="35" t="s">
        <v>1287</v>
      </c>
      <c r="K81" s="21" t="s">
        <v>1048</v>
      </c>
      <c r="L81" s="24"/>
      <c r="M81" s="5"/>
      <c r="N81" s="5" t="s">
        <v>1087</v>
      </c>
    </row>
    <row r="82" spans="2:14" ht="18" customHeight="1" x14ac:dyDescent="0.2">
      <c r="B82" s="21">
        <v>74</v>
      </c>
      <c r="C82" s="1" t="s">
        <v>1284</v>
      </c>
      <c r="D82" s="5" t="s">
        <v>1080</v>
      </c>
      <c r="E82" s="5" t="s">
        <v>1288</v>
      </c>
      <c r="F82" s="5"/>
      <c r="G82" s="5" t="s">
        <v>501</v>
      </c>
      <c r="H82" s="5" t="s">
        <v>1289</v>
      </c>
      <c r="I82" s="5" t="s">
        <v>1290</v>
      </c>
      <c r="J82" s="35" t="s">
        <v>1287</v>
      </c>
      <c r="K82" s="21" t="s">
        <v>1048</v>
      </c>
      <c r="L82" s="24"/>
      <c r="M82" s="5"/>
      <c r="N82" s="5" t="s">
        <v>1087</v>
      </c>
    </row>
    <row r="83" spans="2:14" ht="18" customHeight="1" x14ac:dyDescent="0.2">
      <c r="B83" s="21">
        <v>75</v>
      </c>
      <c r="C83" s="1" t="s">
        <v>1284</v>
      </c>
      <c r="D83" s="5" t="s">
        <v>1080</v>
      </c>
      <c r="E83" s="5" t="s">
        <v>1291</v>
      </c>
      <c r="F83" s="5"/>
      <c r="G83" s="5" t="s">
        <v>501</v>
      </c>
      <c r="H83" s="5" t="s">
        <v>1292</v>
      </c>
      <c r="I83" s="5" t="s">
        <v>1293</v>
      </c>
      <c r="J83" s="35" t="s">
        <v>1287</v>
      </c>
      <c r="K83" s="21" t="s">
        <v>1048</v>
      </c>
      <c r="L83" s="24"/>
      <c r="M83" s="5"/>
      <c r="N83" s="5" t="s">
        <v>1087</v>
      </c>
    </row>
    <row r="84" spans="2:14" ht="18" customHeight="1" x14ac:dyDescent="0.2">
      <c r="B84" s="21">
        <v>76</v>
      </c>
      <c r="C84" s="1" t="s">
        <v>1284</v>
      </c>
      <c r="D84" s="5" t="s">
        <v>1080</v>
      </c>
      <c r="E84" s="5" t="s">
        <v>1294</v>
      </c>
      <c r="F84" s="5"/>
      <c r="G84" s="5" t="s">
        <v>501</v>
      </c>
      <c r="H84" s="5" t="s">
        <v>1295</v>
      </c>
      <c r="I84" s="5" t="s">
        <v>1296</v>
      </c>
      <c r="J84" s="35" t="s">
        <v>1287</v>
      </c>
      <c r="K84" s="21" t="s">
        <v>1048</v>
      </c>
      <c r="L84" s="24"/>
      <c r="M84" s="5"/>
      <c r="N84" s="5" t="s">
        <v>1087</v>
      </c>
    </row>
    <row r="85" spans="2:14" ht="18" customHeight="1" x14ac:dyDescent="0.2">
      <c r="B85" s="21">
        <v>77</v>
      </c>
      <c r="C85" s="1" t="s">
        <v>859</v>
      </c>
      <c r="D85" s="5" t="s">
        <v>1080</v>
      </c>
      <c r="E85" s="5" t="s">
        <v>1297</v>
      </c>
      <c r="F85" s="5"/>
      <c r="G85" s="5" t="s">
        <v>501</v>
      </c>
      <c r="H85" s="5" t="s">
        <v>1298</v>
      </c>
      <c r="I85" s="5" t="s">
        <v>1299</v>
      </c>
      <c r="J85" s="35" t="s">
        <v>1085</v>
      </c>
      <c r="K85" s="21" t="s">
        <v>1086</v>
      </c>
      <c r="L85" s="24"/>
      <c r="M85" s="5"/>
      <c r="N85" s="5" t="s">
        <v>1087</v>
      </c>
    </row>
    <row r="86" spans="2:14" ht="18" customHeight="1" x14ac:dyDescent="0.2">
      <c r="B86" s="21">
        <v>78</v>
      </c>
      <c r="C86" s="1" t="s">
        <v>859</v>
      </c>
      <c r="D86" s="5" t="s">
        <v>1080</v>
      </c>
      <c r="E86" s="5" t="s">
        <v>1300</v>
      </c>
      <c r="F86" s="5"/>
      <c r="G86" s="5" t="s">
        <v>501</v>
      </c>
      <c r="H86" s="5" t="s">
        <v>1301</v>
      </c>
      <c r="I86" s="5" t="s">
        <v>1302</v>
      </c>
      <c r="J86" s="35" t="s">
        <v>1085</v>
      </c>
      <c r="K86" s="21" t="s">
        <v>1048</v>
      </c>
      <c r="L86" s="24"/>
      <c r="M86" s="5"/>
      <c r="N86" s="5" t="s">
        <v>1087</v>
      </c>
    </row>
    <row r="87" spans="2:14" ht="18" customHeight="1" x14ac:dyDescent="0.2">
      <c r="B87" s="21">
        <v>79</v>
      </c>
      <c r="C87" s="1" t="s">
        <v>859</v>
      </c>
      <c r="D87" s="5" t="s">
        <v>1080</v>
      </c>
      <c r="E87" s="5" t="s">
        <v>1303</v>
      </c>
      <c r="F87" s="5"/>
      <c r="G87" s="5" t="s">
        <v>501</v>
      </c>
      <c r="H87" s="5" t="s">
        <v>1304</v>
      </c>
      <c r="I87" s="5" t="s">
        <v>1305</v>
      </c>
      <c r="J87" s="35" t="s">
        <v>1085</v>
      </c>
      <c r="K87" s="21" t="s">
        <v>1048</v>
      </c>
      <c r="L87" s="24"/>
      <c r="M87" s="5"/>
      <c r="N87" s="5" t="s">
        <v>1087</v>
      </c>
    </row>
    <row r="88" spans="2:14" ht="18" customHeight="1" x14ac:dyDescent="0.2">
      <c r="B88" s="21">
        <v>80</v>
      </c>
      <c r="C88" s="1" t="s">
        <v>859</v>
      </c>
      <c r="D88" s="5" t="s">
        <v>1080</v>
      </c>
      <c r="E88" s="5" t="s">
        <v>1306</v>
      </c>
      <c r="F88" s="5"/>
      <c r="G88" s="5" t="s">
        <v>501</v>
      </c>
      <c r="H88" s="5" t="s">
        <v>1307</v>
      </c>
      <c r="I88" s="5" t="s">
        <v>1308</v>
      </c>
      <c r="J88" s="35" t="s">
        <v>1085</v>
      </c>
      <c r="K88" s="21" t="s">
        <v>1086</v>
      </c>
      <c r="L88" s="24"/>
      <c r="M88" s="5"/>
      <c r="N88" s="5" t="s">
        <v>1087</v>
      </c>
    </row>
    <row r="89" spans="2:14" ht="18" customHeight="1" x14ac:dyDescent="0.2">
      <c r="B89" s="21">
        <v>81</v>
      </c>
      <c r="C89" s="1" t="s">
        <v>1309</v>
      </c>
      <c r="D89" s="5" t="s">
        <v>1080</v>
      </c>
      <c r="E89" s="5" t="s">
        <v>1310</v>
      </c>
      <c r="F89" s="5" t="s">
        <v>1311</v>
      </c>
      <c r="G89" s="5" t="s">
        <v>469</v>
      </c>
      <c r="H89" s="5" t="s">
        <v>1312</v>
      </c>
      <c r="I89" s="5" t="s">
        <v>1313</v>
      </c>
      <c r="J89" s="35" t="s">
        <v>1314</v>
      </c>
      <c r="K89" s="21" t="s">
        <v>1048</v>
      </c>
      <c r="L89" s="24"/>
      <c r="M89" s="5"/>
      <c r="N89" s="5" t="s">
        <v>1087</v>
      </c>
    </row>
    <row r="90" spans="2:14" ht="18" customHeight="1" x14ac:dyDescent="0.2">
      <c r="B90" s="21">
        <v>82</v>
      </c>
      <c r="C90" s="1" t="s">
        <v>1309</v>
      </c>
      <c r="D90" s="5" t="s">
        <v>1080</v>
      </c>
      <c r="E90" s="5" t="s">
        <v>1315</v>
      </c>
      <c r="F90" s="5" t="s">
        <v>1254</v>
      </c>
      <c r="G90" s="5" t="s">
        <v>469</v>
      </c>
      <c r="H90" s="5" t="s">
        <v>1316</v>
      </c>
      <c r="I90" s="5" t="s">
        <v>1317</v>
      </c>
      <c r="J90" s="35" t="s">
        <v>1314</v>
      </c>
      <c r="K90" s="21" t="s">
        <v>1048</v>
      </c>
      <c r="L90" s="24"/>
      <c r="M90" s="5"/>
      <c r="N90" s="5" t="s">
        <v>1087</v>
      </c>
    </row>
    <row r="91" spans="2:14" ht="18" customHeight="1" x14ac:dyDescent="0.2">
      <c r="B91" s="21">
        <v>83</v>
      </c>
      <c r="C91" s="1" t="s">
        <v>1309</v>
      </c>
      <c r="D91" s="5" t="s">
        <v>1080</v>
      </c>
      <c r="E91" s="5" t="s">
        <v>1318</v>
      </c>
      <c r="F91" s="5" t="s">
        <v>406</v>
      </c>
      <c r="G91" s="5" t="s">
        <v>469</v>
      </c>
      <c r="H91" s="5" t="s">
        <v>1319</v>
      </c>
      <c r="I91" s="5" t="s">
        <v>1320</v>
      </c>
      <c r="J91" s="35" t="s">
        <v>1314</v>
      </c>
      <c r="K91" s="21" t="s">
        <v>1086</v>
      </c>
      <c r="L91" s="24"/>
      <c r="M91" s="5"/>
      <c r="N91" s="5" t="s">
        <v>1087</v>
      </c>
    </row>
    <row r="92" spans="2:14" ht="18" customHeight="1" x14ac:dyDescent="0.2">
      <c r="B92" s="21">
        <v>84</v>
      </c>
      <c r="C92" s="1" t="s">
        <v>1309</v>
      </c>
      <c r="D92" s="5" t="s">
        <v>1080</v>
      </c>
      <c r="E92" s="5" t="s">
        <v>1321</v>
      </c>
      <c r="F92" s="5" t="s">
        <v>1322</v>
      </c>
      <c r="G92" s="5" t="s">
        <v>469</v>
      </c>
      <c r="H92" s="5" t="s">
        <v>1323</v>
      </c>
      <c r="I92" s="5" t="s">
        <v>1324</v>
      </c>
      <c r="J92" s="35" t="s">
        <v>1314</v>
      </c>
      <c r="K92" s="21" t="s">
        <v>1048</v>
      </c>
      <c r="L92" s="24"/>
      <c r="M92" s="5"/>
      <c r="N92" s="5" t="s">
        <v>1087</v>
      </c>
    </row>
    <row r="93" spans="2:14" ht="18" customHeight="1" x14ac:dyDescent="0.2">
      <c r="B93" s="21">
        <v>85</v>
      </c>
      <c r="C93" s="1" t="s">
        <v>1309</v>
      </c>
      <c r="D93" s="5" t="s">
        <v>1080</v>
      </c>
      <c r="E93" s="5" t="s">
        <v>1325</v>
      </c>
      <c r="F93" s="5" t="s">
        <v>1166</v>
      </c>
      <c r="G93" s="5" t="s">
        <v>475</v>
      </c>
      <c r="H93" s="5" t="s">
        <v>1326</v>
      </c>
      <c r="I93" s="5" t="s">
        <v>1327</v>
      </c>
      <c r="J93" s="35" t="s">
        <v>1314</v>
      </c>
      <c r="K93" s="21" t="s">
        <v>1048</v>
      </c>
      <c r="L93" s="24"/>
      <c r="M93" s="5"/>
      <c r="N93" s="5" t="s">
        <v>1087</v>
      </c>
    </row>
    <row r="94" spans="2:14" ht="18" customHeight="1" x14ac:dyDescent="0.2">
      <c r="B94" s="21">
        <v>86</v>
      </c>
      <c r="C94" s="1" t="s">
        <v>1309</v>
      </c>
      <c r="D94" s="5" t="s">
        <v>1080</v>
      </c>
      <c r="E94" s="5" t="s">
        <v>1328</v>
      </c>
      <c r="F94" s="5" t="s">
        <v>1329</v>
      </c>
      <c r="G94" s="5" t="s">
        <v>455</v>
      </c>
      <c r="H94" s="5" t="s">
        <v>1330</v>
      </c>
      <c r="I94" s="5" t="s">
        <v>1331</v>
      </c>
      <c r="J94" s="35" t="s">
        <v>1314</v>
      </c>
      <c r="K94" s="21" t="s">
        <v>1048</v>
      </c>
      <c r="L94" s="24"/>
      <c r="M94" s="5"/>
      <c r="N94" s="5" t="s">
        <v>1087</v>
      </c>
    </row>
    <row r="95" spans="2:14" ht="18" customHeight="1" x14ac:dyDescent="0.2">
      <c r="B95" s="21">
        <v>87</v>
      </c>
      <c r="C95" s="1" t="s">
        <v>1309</v>
      </c>
      <c r="D95" s="5" t="s">
        <v>1080</v>
      </c>
      <c r="E95" s="5" t="s">
        <v>1332</v>
      </c>
      <c r="F95" s="5" t="s">
        <v>1333</v>
      </c>
      <c r="G95" s="5" t="s">
        <v>455</v>
      </c>
      <c r="H95" s="5" t="s">
        <v>1334</v>
      </c>
      <c r="I95" s="5" t="s">
        <v>1335</v>
      </c>
      <c r="J95" s="35" t="s">
        <v>1314</v>
      </c>
      <c r="K95" s="21" t="s">
        <v>1048</v>
      </c>
      <c r="L95" s="24"/>
      <c r="M95" s="5"/>
      <c r="N95" s="5" t="s">
        <v>1087</v>
      </c>
    </row>
    <row r="96" spans="2:14" ht="18" customHeight="1" x14ac:dyDescent="0.2">
      <c r="B96" s="21">
        <v>88</v>
      </c>
      <c r="C96" s="1" t="s">
        <v>891</v>
      </c>
      <c r="D96" s="5" t="s">
        <v>1080</v>
      </c>
      <c r="E96" s="5" t="s">
        <v>1336</v>
      </c>
      <c r="F96" s="5" t="s">
        <v>399</v>
      </c>
      <c r="G96" s="5" t="s">
        <v>1046</v>
      </c>
      <c r="H96" s="5" t="s">
        <v>1337</v>
      </c>
      <c r="I96" s="5" t="s">
        <v>1338</v>
      </c>
      <c r="J96" s="35" t="s">
        <v>1085</v>
      </c>
      <c r="K96" s="21" t="s">
        <v>1086</v>
      </c>
      <c r="L96" s="24"/>
      <c r="M96" s="5"/>
      <c r="N96" s="5" t="s">
        <v>1087</v>
      </c>
    </row>
    <row r="97" spans="2:14" ht="18" customHeight="1" x14ac:dyDescent="0.2">
      <c r="B97" s="21">
        <v>89</v>
      </c>
      <c r="C97" s="1" t="s">
        <v>856</v>
      </c>
      <c r="D97" s="5" t="s">
        <v>1080</v>
      </c>
      <c r="E97" s="5" t="s">
        <v>1339</v>
      </c>
      <c r="F97" s="5" t="s">
        <v>406</v>
      </c>
      <c r="G97" s="5" t="s">
        <v>469</v>
      </c>
      <c r="H97" s="5" t="s">
        <v>1340</v>
      </c>
      <c r="I97" s="5" t="s">
        <v>1341</v>
      </c>
      <c r="J97" s="35" t="s">
        <v>1085</v>
      </c>
      <c r="K97" s="21" t="s">
        <v>1048</v>
      </c>
      <c r="L97" s="24"/>
      <c r="M97" s="5"/>
      <c r="N97" s="5" t="s">
        <v>1087</v>
      </c>
    </row>
    <row r="98" spans="2:14" ht="18" customHeight="1" x14ac:dyDescent="0.2">
      <c r="B98" s="21">
        <v>90</v>
      </c>
      <c r="C98" s="1" t="s">
        <v>856</v>
      </c>
      <c r="D98" s="5" t="s">
        <v>1080</v>
      </c>
      <c r="E98" s="5" t="s">
        <v>1342</v>
      </c>
      <c r="F98" s="5" t="s">
        <v>1343</v>
      </c>
      <c r="G98" s="5" t="s">
        <v>565</v>
      </c>
      <c r="H98" s="5" t="s">
        <v>1344</v>
      </c>
      <c r="I98" s="5" t="s">
        <v>1345</v>
      </c>
      <c r="J98" s="35" t="s">
        <v>1085</v>
      </c>
      <c r="K98" s="21" t="s">
        <v>1048</v>
      </c>
      <c r="L98" s="24"/>
      <c r="M98" s="5"/>
      <c r="N98" s="5" t="s">
        <v>1087</v>
      </c>
    </row>
    <row r="99" spans="2:14" ht="18" customHeight="1" x14ac:dyDescent="0.2">
      <c r="B99" s="21">
        <v>91</v>
      </c>
      <c r="C99" s="1" t="s">
        <v>856</v>
      </c>
      <c r="D99" s="5" t="s">
        <v>1080</v>
      </c>
      <c r="E99" s="5" t="s">
        <v>1346</v>
      </c>
      <c r="F99" s="5" t="s">
        <v>1347</v>
      </c>
      <c r="G99" s="5" t="s">
        <v>565</v>
      </c>
      <c r="H99" s="5" t="s">
        <v>1348</v>
      </c>
      <c r="I99" s="5" t="s">
        <v>1349</v>
      </c>
      <c r="J99" s="35" t="s">
        <v>1085</v>
      </c>
      <c r="K99" s="21" t="s">
        <v>1048</v>
      </c>
      <c r="L99" s="24"/>
      <c r="M99" s="5"/>
      <c r="N99" s="5" t="s">
        <v>1087</v>
      </c>
    </row>
    <row r="100" spans="2:14" ht="18" customHeight="1" x14ac:dyDescent="0.2">
      <c r="B100" s="21">
        <v>92</v>
      </c>
      <c r="C100" s="1" t="s">
        <v>856</v>
      </c>
      <c r="D100" s="5" t="s">
        <v>1080</v>
      </c>
      <c r="E100" s="5" t="s">
        <v>1350</v>
      </c>
      <c r="F100" s="5" t="s">
        <v>1281</v>
      </c>
      <c r="G100" s="5" t="s">
        <v>455</v>
      </c>
      <c r="H100" s="5" t="s">
        <v>1351</v>
      </c>
      <c r="I100" s="5" t="s">
        <v>1352</v>
      </c>
      <c r="J100" s="35" t="s">
        <v>1085</v>
      </c>
      <c r="K100" s="21" t="s">
        <v>1048</v>
      </c>
      <c r="L100" s="24"/>
      <c r="M100" s="5"/>
      <c r="N100" s="5" t="s">
        <v>1087</v>
      </c>
    </row>
    <row r="101" spans="2:14" ht="18" customHeight="1" x14ac:dyDescent="0.2">
      <c r="B101" s="21">
        <v>93</v>
      </c>
      <c r="C101" s="1" t="s">
        <v>1353</v>
      </c>
      <c r="D101" s="5" t="s">
        <v>1080</v>
      </c>
      <c r="E101" s="5" t="s">
        <v>1354</v>
      </c>
      <c r="F101" s="5" t="s">
        <v>406</v>
      </c>
      <c r="G101" s="5" t="s">
        <v>469</v>
      </c>
      <c r="H101" s="5" t="s">
        <v>1355</v>
      </c>
      <c r="I101" s="5" t="s">
        <v>1356</v>
      </c>
      <c r="J101" s="35" t="s">
        <v>1357</v>
      </c>
      <c r="K101" s="21" t="s">
        <v>1086</v>
      </c>
      <c r="L101" s="24"/>
      <c r="M101" s="5"/>
      <c r="N101" s="5" t="s">
        <v>1087</v>
      </c>
    </row>
    <row r="102" spans="2:14" ht="18" customHeight="1" x14ac:dyDescent="0.2">
      <c r="B102" s="21">
        <v>94</v>
      </c>
      <c r="C102" s="1" t="s">
        <v>1353</v>
      </c>
      <c r="D102" s="5" t="s">
        <v>1080</v>
      </c>
      <c r="E102" s="5" t="s">
        <v>1358</v>
      </c>
      <c r="F102" s="5" t="s">
        <v>1245</v>
      </c>
      <c r="G102" s="5" t="s">
        <v>565</v>
      </c>
      <c r="H102" s="5" t="s">
        <v>1359</v>
      </c>
      <c r="I102" s="5" t="s">
        <v>1360</v>
      </c>
      <c r="J102" s="35" t="s">
        <v>1357</v>
      </c>
      <c r="K102" s="21" t="s">
        <v>1048</v>
      </c>
      <c r="L102" s="24"/>
      <c r="M102" s="5"/>
      <c r="N102" s="5" t="s">
        <v>1087</v>
      </c>
    </row>
    <row r="103" spans="2:14" ht="18" customHeight="1" x14ac:dyDescent="0.2">
      <c r="B103" s="21">
        <v>95</v>
      </c>
      <c r="C103" s="1" t="s">
        <v>1353</v>
      </c>
      <c r="D103" s="5" t="s">
        <v>1080</v>
      </c>
      <c r="E103" s="5" t="s">
        <v>1361</v>
      </c>
      <c r="F103" s="5"/>
      <c r="G103" s="5" t="s">
        <v>501</v>
      </c>
      <c r="H103" s="5" t="s">
        <v>1362</v>
      </c>
      <c r="I103" s="5" t="s">
        <v>1363</v>
      </c>
      <c r="J103" s="35" t="s">
        <v>1357</v>
      </c>
      <c r="K103" s="21" t="s">
        <v>1086</v>
      </c>
      <c r="L103" s="24"/>
      <c r="M103" s="5"/>
      <c r="N103" s="5" t="s">
        <v>1087</v>
      </c>
    </row>
    <row r="104" spans="2:14" ht="18" customHeight="1" x14ac:dyDescent="0.2">
      <c r="B104" s="21">
        <v>96</v>
      </c>
      <c r="C104" s="1" t="s">
        <v>1353</v>
      </c>
      <c r="D104" s="5" t="s">
        <v>1080</v>
      </c>
      <c r="E104" s="5" t="s">
        <v>1364</v>
      </c>
      <c r="F104" s="5"/>
      <c r="G104" s="5" t="s">
        <v>501</v>
      </c>
      <c r="H104" s="5" t="s">
        <v>1365</v>
      </c>
      <c r="I104" s="5" t="s">
        <v>1366</v>
      </c>
      <c r="J104" s="35" t="s">
        <v>1357</v>
      </c>
      <c r="K104" s="21" t="s">
        <v>1086</v>
      </c>
      <c r="L104" s="24"/>
      <c r="M104" s="5"/>
      <c r="N104" s="5" t="s">
        <v>1087</v>
      </c>
    </row>
    <row r="105" spans="2:14" ht="18" customHeight="1" x14ac:dyDescent="0.2">
      <c r="B105" s="21">
        <v>97</v>
      </c>
      <c r="C105" s="1" t="s">
        <v>1353</v>
      </c>
      <c r="D105" s="5" t="s">
        <v>1080</v>
      </c>
      <c r="E105" s="5" t="s">
        <v>1367</v>
      </c>
      <c r="F105" s="5"/>
      <c r="G105" s="5" t="s">
        <v>501</v>
      </c>
      <c r="H105" s="5" t="s">
        <v>1368</v>
      </c>
      <c r="I105" s="5"/>
      <c r="J105" s="35" t="s">
        <v>1357</v>
      </c>
      <c r="K105" s="21" t="s">
        <v>1086</v>
      </c>
      <c r="L105" s="24"/>
      <c r="M105" s="5"/>
      <c r="N105" s="5" t="s">
        <v>1087</v>
      </c>
    </row>
    <row r="106" spans="2:14" ht="18" customHeight="1" x14ac:dyDescent="0.2">
      <c r="B106" s="21">
        <v>98</v>
      </c>
      <c r="C106" s="1" t="s">
        <v>901</v>
      </c>
      <c r="D106" s="5" t="s">
        <v>1080</v>
      </c>
      <c r="E106" s="5" t="s">
        <v>1369</v>
      </c>
      <c r="F106" s="5" t="s">
        <v>1370</v>
      </c>
      <c r="G106" s="5" t="s">
        <v>497</v>
      </c>
      <c r="H106" s="5" t="s">
        <v>1371</v>
      </c>
      <c r="I106" s="5" t="s">
        <v>1372</v>
      </c>
      <c r="J106" s="35" t="s">
        <v>1085</v>
      </c>
      <c r="K106" s="21" t="s">
        <v>1048</v>
      </c>
      <c r="L106" s="24"/>
      <c r="M106" s="5"/>
      <c r="N106" s="5" t="s">
        <v>1087</v>
      </c>
    </row>
    <row r="107" spans="2:14" ht="18" customHeight="1" x14ac:dyDescent="0.2">
      <c r="B107" s="21">
        <v>99</v>
      </c>
      <c r="C107" s="1" t="s">
        <v>897</v>
      </c>
      <c r="D107" s="5" t="s">
        <v>1080</v>
      </c>
      <c r="E107" s="5" t="s">
        <v>1373</v>
      </c>
      <c r="F107" s="5" t="s">
        <v>406</v>
      </c>
      <c r="G107" s="5" t="s">
        <v>469</v>
      </c>
      <c r="H107" s="5" t="s">
        <v>1374</v>
      </c>
      <c r="I107" s="5" t="s">
        <v>1375</v>
      </c>
      <c r="J107" s="35" t="s">
        <v>1085</v>
      </c>
      <c r="K107" s="21" t="s">
        <v>1048</v>
      </c>
      <c r="L107" s="24"/>
      <c r="M107" s="5"/>
      <c r="N107" s="5" t="s">
        <v>1087</v>
      </c>
    </row>
    <row r="108" spans="2:14" ht="18" customHeight="1" x14ac:dyDescent="0.2">
      <c r="B108" s="21">
        <v>100</v>
      </c>
      <c r="C108" s="1" t="s">
        <v>897</v>
      </c>
      <c r="D108" s="5" t="s">
        <v>1080</v>
      </c>
      <c r="E108" s="5" t="s">
        <v>1376</v>
      </c>
      <c r="F108" s="5" t="s">
        <v>1131</v>
      </c>
      <c r="G108" s="5" t="s">
        <v>565</v>
      </c>
      <c r="H108" s="5" t="s">
        <v>1377</v>
      </c>
      <c r="I108" s="5"/>
      <c r="J108" s="35" t="s">
        <v>1085</v>
      </c>
      <c r="K108" s="21" t="s">
        <v>1048</v>
      </c>
      <c r="L108" s="24"/>
      <c r="M108" s="5"/>
      <c r="N108" s="5" t="s">
        <v>1087</v>
      </c>
    </row>
    <row r="109" spans="2:14" ht="18" customHeight="1" x14ac:dyDescent="0.2">
      <c r="B109" s="21">
        <v>101</v>
      </c>
      <c r="C109" s="1" t="s">
        <v>897</v>
      </c>
      <c r="D109" s="5" t="s">
        <v>1080</v>
      </c>
      <c r="E109" s="5" t="s">
        <v>1378</v>
      </c>
      <c r="F109" s="5" t="s">
        <v>1379</v>
      </c>
      <c r="G109" s="5" t="s">
        <v>455</v>
      </c>
      <c r="H109" s="5" t="s">
        <v>1380</v>
      </c>
      <c r="I109" s="5" t="s">
        <v>1381</v>
      </c>
      <c r="J109" s="35" t="s">
        <v>1085</v>
      </c>
      <c r="K109" s="21" t="s">
        <v>1048</v>
      </c>
      <c r="L109" s="24"/>
      <c r="M109" s="5"/>
      <c r="N109" s="5" t="s">
        <v>1087</v>
      </c>
    </row>
    <row r="110" spans="2:14" ht="18" customHeight="1" x14ac:dyDescent="0.2">
      <c r="B110" s="21">
        <v>102</v>
      </c>
      <c r="C110" s="1" t="s">
        <v>1382</v>
      </c>
      <c r="D110" s="5" t="s">
        <v>1080</v>
      </c>
      <c r="E110" s="5" t="s">
        <v>1383</v>
      </c>
      <c r="F110" s="5" t="s">
        <v>1384</v>
      </c>
      <c r="G110" s="5" t="s">
        <v>469</v>
      </c>
      <c r="H110" s="5" t="s">
        <v>1385</v>
      </c>
      <c r="I110" s="5" t="s">
        <v>1386</v>
      </c>
      <c r="J110" s="35" t="s">
        <v>1387</v>
      </c>
      <c r="K110" s="21" t="s">
        <v>1048</v>
      </c>
      <c r="L110" s="24"/>
      <c r="M110" s="5"/>
      <c r="N110" s="5" t="s">
        <v>1087</v>
      </c>
    </row>
    <row r="111" spans="2:14" ht="18" customHeight="1" x14ac:dyDescent="0.2">
      <c r="B111" s="21">
        <v>103</v>
      </c>
      <c r="C111" s="1" t="s">
        <v>1382</v>
      </c>
      <c r="D111" s="5" t="s">
        <v>1080</v>
      </c>
      <c r="E111" s="5" t="s">
        <v>1388</v>
      </c>
      <c r="F111" s="5" t="s">
        <v>1389</v>
      </c>
      <c r="G111" s="5" t="s">
        <v>565</v>
      </c>
      <c r="H111" s="5" t="s">
        <v>1390</v>
      </c>
      <c r="I111" s="5" t="s">
        <v>1391</v>
      </c>
      <c r="J111" s="35" t="s">
        <v>1387</v>
      </c>
      <c r="K111" s="21" t="s">
        <v>1048</v>
      </c>
      <c r="L111" s="24"/>
      <c r="M111" s="5"/>
      <c r="N111" s="5" t="s">
        <v>1087</v>
      </c>
    </row>
    <row r="112" spans="2:14" ht="18" customHeight="1" x14ac:dyDescent="0.2">
      <c r="B112" s="21">
        <v>104</v>
      </c>
      <c r="C112" s="1" t="s">
        <v>1392</v>
      </c>
      <c r="D112" s="5" t="s">
        <v>1080</v>
      </c>
      <c r="E112" s="5" t="s">
        <v>1393</v>
      </c>
      <c r="F112" s="5" t="s">
        <v>1394</v>
      </c>
      <c r="G112" s="5" t="s">
        <v>565</v>
      </c>
      <c r="H112" s="5" t="s">
        <v>1390</v>
      </c>
      <c r="I112" s="5" t="s">
        <v>1391</v>
      </c>
      <c r="J112" s="35" t="s">
        <v>1387</v>
      </c>
      <c r="K112" s="21" t="s">
        <v>1048</v>
      </c>
      <c r="L112" s="24"/>
      <c r="M112" s="5"/>
      <c r="N112" s="5" t="s">
        <v>1087</v>
      </c>
    </row>
    <row r="113" spans="2:14" ht="18" customHeight="1" x14ac:dyDescent="0.2">
      <c r="B113" s="21">
        <v>105</v>
      </c>
      <c r="C113" s="1" t="s">
        <v>893</v>
      </c>
      <c r="D113" s="5" t="s">
        <v>1080</v>
      </c>
      <c r="E113" s="5" t="s">
        <v>1395</v>
      </c>
      <c r="F113" s="5"/>
      <c r="G113" s="5" t="s">
        <v>501</v>
      </c>
      <c r="H113" s="5" t="s">
        <v>1396</v>
      </c>
      <c r="I113" s="5" t="s">
        <v>1397</v>
      </c>
      <c r="J113" s="35" t="s">
        <v>1085</v>
      </c>
      <c r="K113" s="21" t="s">
        <v>1048</v>
      </c>
      <c r="L113" s="24"/>
      <c r="M113" s="5"/>
      <c r="N113" s="5" t="s">
        <v>1087</v>
      </c>
    </row>
    <row r="114" spans="2:14" ht="18" customHeight="1" x14ac:dyDescent="0.2">
      <c r="B114" s="21">
        <v>106</v>
      </c>
      <c r="C114" s="1" t="s">
        <v>847</v>
      </c>
      <c r="D114" s="5" t="s">
        <v>1080</v>
      </c>
      <c r="E114" s="5" t="s">
        <v>1398</v>
      </c>
      <c r="F114" s="5" t="s">
        <v>1156</v>
      </c>
      <c r="G114" s="5" t="s">
        <v>565</v>
      </c>
      <c r="H114" s="5" t="s">
        <v>1399</v>
      </c>
      <c r="I114" s="5" t="s">
        <v>1400</v>
      </c>
      <c r="J114" s="35" t="s">
        <v>1085</v>
      </c>
      <c r="K114" s="21" t="s">
        <v>1048</v>
      </c>
      <c r="L114" s="24"/>
      <c r="M114" s="5"/>
      <c r="N114" s="5" t="s">
        <v>1087</v>
      </c>
    </row>
    <row r="115" spans="2:14" ht="18" customHeight="1" x14ac:dyDescent="0.2">
      <c r="B115" s="21">
        <v>107</v>
      </c>
      <c r="C115" s="1" t="s">
        <v>847</v>
      </c>
      <c r="D115" s="5" t="s">
        <v>1080</v>
      </c>
      <c r="E115" s="5" t="s">
        <v>1401</v>
      </c>
      <c r="F115" s="5" t="s">
        <v>1156</v>
      </c>
      <c r="G115" s="5" t="s">
        <v>565</v>
      </c>
      <c r="H115" s="5" t="s">
        <v>1402</v>
      </c>
      <c r="I115" s="5" t="s">
        <v>1403</v>
      </c>
      <c r="J115" s="35" t="s">
        <v>1085</v>
      </c>
      <c r="K115" s="21" t="s">
        <v>1048</v>
      </c>
      <c r="L115" s="24"/>
      <c r="M115" s="5"/>
      <c r="N115" s="5" t="s">
        <v>1087</v>
      </c>
    </row>
    <row r="116" spans="2:14" ht="18" customHeight="1" x14ac:dyDescent="0.2">
      <c r="B116" s="21">
        <v>108</v>
      </c>
      <c r="C116" s="1" t="s">
        <v>866</v>
      </c>
      <c r="D116" s="5" t="s">
        <v>1080</v>
      </c>
      <c r="E116" s="5" t="s">
        <v>1404</v>
      </c>
      <c r="F116" s="5"/>
      <c r="G116" s="5" t="s">
        <v>501</v>
      </c>
      <c r="H116" s="5" t="s">
        <v>1405</v>
      </c>
      <c r="I116" s="5" t="s">
        <v>1406</v>
      </c>
      <c r="J116" s="35" t="s">
        <v>1085</v>
      </c>
      <c r="K116" s="21" t="s">
        <v>1086</v>
      </c>
      <c r="L116" s="24"/>
      <c r="M116" s="5"/>
      <c r="N116" s="5" t="s">
        <v>1087</v>
      </c>
    </row>
    <row r="117" spans="2:14" ht="18" customHeight="1" x14ac:dyDescent="0.2">
      <c r="B117" s="21">
        <v>109</v>
      </c>
      <c r="C117" s="1" t="s">
        <v>866</v>
      </c>
      <c r="D117" s="5" t="s">
        <v>1080</v>
      </c>
      <c r="E117" s="5" t="s">
        <v>1407</v>
      </c>
      <c r="F117" s="5"/>
      <c r="G117" s="5" t="s">
        <v>501</v>
      </c>
      <c r="H117" s="5" t="s">
        <v>1408</v>
      </c>
      <c r="I117" s="5" t="s">
        <v>1409</v>
      </c>
      <c r="J117" s="35" t="s">
        <v>1085</v>
      </c>
      <c r="K117" s="21" t="s">
        <v>1086</v>
      </c>
      <c r="L117" s="24"/>
      <c r="M117" s="5"/>
      <c r="N117" s="5" t="s">
        <v>1087</v>
      </c>
    </row>
    <row r="118" spans="2:14" ht="18" customHeight="1" x14ac:dyDescent="0.2">
      <c r="B118" s="21">
        <v>110</v>
      </c>
      <c r="C118" s="1" t="s">
        <v>866</v>
      </c>
      <c r="D118" s="5" t="s">
        <v>1080</v>
      </c>
      <c r="E118" s="5" t="s">
        <v>1410</v>
      </c>
      <c r="F118" s="5"/>
      <c r="G118" s="5" t="s">
        <v>501</v>
      </c>
      <c r="H118" s="5" t="s">
        <v>1411</v>
      </c>
      <c r="I118" s="5" t="s">
        <v>1412</v>
      </c>
      <c r="J118" s="35" t="s">
        <v>1085</v>
      </c>
      <c r="K118" s="21" t="s">
        <v>1086</v>
      </c>
      <c r="L118" s="24"/>
      <c r="M118" s="5"/>
      <c r="N118" s="5" t="s">
        <v>1087</v>
      </c>
    </row>
    <row r="119" spans="2:14" ht="18" customHeight="1" x14ac:dyDescent="0.2">
      <c r="B119" s="21">
        <v>111</v>
      </c>
      <c r="C119" s="1" t="s">
        <v>1413</v>
      </c>
      <c r="D119" s="5" t="s">
        <v>1080</v>
      </c>
      <c r="E119" s="5" t="s">
        <v>1414</v>
      </c>
      <c r="F119" s="5"/>
      <c r="G119" s="5" t="s">
        <v>501</v>
      </c>
      <c r="H119" s="5" t="s">
        <v>1415</v>
      </c>
      <c r="I119" s="5" t="s">
        <v>1386</v>
      </c>
      <c r="J119" s="35" t="s">
        <v>1416</v>
      </c>
      <c r="K119" s="21" t="s">
        <v>1048</v>
      </c>
      <c r="L119" s="24"/>
      <c r="M119" s="5"/>
      <c r="N119" s="5" t="s">
        <v>1087</v>
      </c>
    </row>
    <row r="120" spans="2:14" ht="18" customHeight="1" x14ac:dyDescent="0.2">
      <c r="B120" s="21">
        <v>112</v>
      </c>
      <c r="C120" s="1" t="s">
        <v>895</v>
      </c>
      <c r="D120" s="5" t="s">
        <v>1080</v>
      </c>
      <c r="E120" s="5" t="s">
        <v>1417</v>
      </c>
      <c r="F120" s="5" t="s">
        <v>1418</v>
      </c>
      <c r="G120" s="5" t="s">
        <v>469</v>
      </c>
      <c r="H120" s="5" t="s">
        <v>1419</v>
      </c>
      <c r="I120" s="5" t="s">
        <v>1420</v>
      </c>
      <c r="J120" s="35" t="s">
        <v>1085</v>
      </c>
      <c r="K120" s="21" t="s">
        <v>1048</v>
      </c>
      <c r="L120" s="24"/>
      <c r="M120" s="5"/>
      <c r="N120" s="5" t="s">
        <v>1087</v>
      </c>
    </row>
    <row r="121" spans="2:14" ht="18" customHeight="1" x14ac:dyDescent="0.2">
      <c r="B121" s="21">
        <v>113</v>
      </c>
      <c r="C121" s="1" t="s">
        <v>895</v>
      </c>
      <c r="D121" s="5" t="s">
        <v>1080</v>
      </c>
      <c r="E121" s="5" t="s">
        <v>1421</v>
      </c>
      <c r="F121" s="5" t="s">
        <v>1422</v>
      </c>
      <c r="G121" s="5" t="s">
        <v>565</v>
      </c>
      <c r="H121" s="5" t="s">
        <v>1423</v>
      </c>
      <c r="I121" s="5" t="s">
        <v>1424</v>
      </c>
      <c r="J121" s="35" t="s">
        <v>1085</v>
      </c>
      <c r="K121" s="21" t="s">
        <v>1048</v>
      </c>
      <c r="L121" s="24"/>
      <c r="M121" s="5"/>
      <c r="N121" s="5" t="s">
        <v>1087</v>
      </c>
    </row>
    <row r="122" spans="2:14" ht="18" customHeight="1" x14ac:dyDescent="0.2">
      <c r="B122" s="21">
        <v>114</v>
      </c>
      <c r="C122" s="1" t="s">
        <v>895</v>
      </c>
      <c r="D122" s="5" t="s">
        <v>1080</v>
      </c>
      <c r="E122" s="5" t="s">
        <v>1425</v>
      </c>
      <c r="F122" s="5" t="s">
        <v>1245</v>
      </c>
      <c r="G122" s="5" t="s">
        <v>565</v>
      </c>
      <c r="H122" s="5" t="s">
        <v>1426</v>
      </c>
      <c r="I122" s="5" t="s">
        <v>1427</v>
      </c>
      <c r="J122" s="35" t="s">
        <v>1085</v>
      </c>
      <c r="K122" s="21" t="s">
        <v>1048</v>
      </c>
      <c r="L122" s="24"/>
      <c r="M122" s="5"/>
      <c r="N122" s="5" t="s">
        <v>1087</v>
      </c>
    </row>
    <row r="123" spans="2:14" ht="18" customHeight="1" x14ac:dyDescent="0.2">
      <c r="B123" s="21">
        <v>115</v>
      </c>
      <c r="C123" s="1" t="s">
        <v>1428</v>
      </c>
      <c r="D123" s="5" t="s">
        <v>1080</v>
      </c>
      <c r="E123" s="5" t="s">
        <v>574</v>
      </c>
      <c r="F123" s="5"/>
      <c r="G123" s="5" t="s">
        <v>501</v>
      </c>
      <c r="H123" s="5" t="s">
        <v>575</v>
      </c>
      <c r="I123" s="5" t="s">
        <v>576</v>
      </c>
      <c r="J123" s="35" t="s">
        <v>1429</v>
      </c>
      <c r="K123" s="21" t="s">
        <v>1048</v>
      </c>
      <c r="L123" s="24"/>
      <c r="M123" s="5"/>
      <c r="N123" s="5" t="s">
        <v>1087</v>
      </c>
    </row>
    <row r="124" spans="2:14" ht="18" customHeight="1" x14ac:dyDescent="0.2">
      <c r="B124" s="21">
        <v>116</v>
      </c>
      <c r="C124" s="1" t="s">
        <v>1428</v>
      </c>
      <c r="D124" s="5" t="s">
        <v>1080</v>
      </c>
      <c r="E124" s="5" t="s">
        <v>568</v>
      </c>
      <c r="F124" s="5"/>
      <c r="G124" s="5" t="s">
        <v>501</v>
      </c>
      <c r="H124" s="5" t="s">
        <v>569</v>
      </c>
      <c r="I124" s="5" t="s">
        <v>570</v>
      </c>
      <c r="J124" s="35" t="s">
        <v>1429</v>
      </c>
      <c r="K124" s="21" t="s">
        <v>1048</v>
      </c>
      <c r="L124" s="24"/>
      <c r="M124" s="5"/>
      <c r="N124" s="5" t="s">
        <v>1087</v>
      </c>
    </row>
    <row r="125" spans="2:14" ht="18" customHeight="1" x14ac:dyDescent="0.2">
      <c r="B125" s="21">
        <v>117</v>
      </c>
      <c r="C125" s="1" t="s">
        <v>1428</v>
      </c>
      <c r="D125" s="5" t="s">
        <v>1080</v>
      </c>
      <c r="E125" s="5" t="s">
        <v>577</v>
      </c>
      <c r="F125" s="5"/>
      <c r="G125" s="5" t="s">
        <v>501</v>
      </c>
      <c r="H125" s="5" t="s">
        <v>578</v>
      </c>
      <c r="I125" s="5" t="s">
        <v>579</v>
      </c>
      <c r="J125" s="35" t="s">
        <v>1429</v>
      </c>
      <c r="K125" s="21" t="s">
        <v>1048</v>
      </c>
      <c r="L125" s="24"/>
      <c r="M125" s="5"/>
      <c r="N125" s="5" t="s">
        <v>1087</v>
      </c>
    </row>
    <row r="126" spans="2:14" ht="18" customHeight="1" x14ac:dyDescent="0.2">
      <c r="B126" s="21">
        <v>118</v>
      </c>
      <c r="C126" s="1" t="s">
        <v>1428</v>
      </c>
      <c r="D126" s="5" t="s">
        <v>1080</v>
      </c>
      <c r="E126" s="5" t="s">
        <v>571</v>
      </c>
      <c r="F126" s="5"/>
      <c r="G126" s="5" t="s">
        <v>501</v>
      </c>
      <c r="H126" s="5" t="s">
        <v>572</v>
      </c>
      <c r="I126" s="5" t="s">
        <v>573</v>
      </c>
      <c r="J126" s="35" t="s">
        <v>1429</v>
      </c>
      <c r="K126" s="21" t="s">
        <v>1048</v>
      </c>
      <c r="L126" s="24"/>
      <c r="M126" s="5"/>
      <c r="N126" s="5" t="s">
        <v>1087</v>
      </c>
    </row>
    <row r="127" spans="2:14" ht="30" customHeight="1" x14ac:dyDescent="0.2">
      <c r="B127" s="21">
        <v>119</v>
      </c>
      <c r="C127" s="1" t="s">
        <v>1430</v>
      </c>
      <c r="D127" s="5" t="s">
        <v>1080</v>
      </c>
      <c r="E127" s="5" t="s">
        <v>559</v>
      </c>
      <c r="F127" s="5" t="s">
        <v>560</v>
      </c>
      <c r="G127" s="5" t="s">
        <v>469</v>
      </c>
      <c r="H127" s="5" t="s">
        <v>561</v>
      </c>
      <c r="I127" s="5" t="s">
        <v>562</v>
      </c>
      <c r="J127" s="35" t="s">
        <v>1429</v>
      </c>
      <c r="K127" s="21" t="s">
        <v>1048</v>
      </c>
      <c r="L127" s="24"/>
      <c r="M127" s="5"/>
      <c r="N127" s="5" t="s">
        <v>1087</v>
      </c>
    </row>
    <row r="128" spans="2:14" ht="18" customHeight="1" x14ac:dyDescent="0.2">
      <c r="B128" s="21">
        <v>120</v>
      </c>
      <c r="C128" s="1" t="s">
        <v>1430</v>
      </c>
      <c r="D128" s="5" t="s">
        <v>1080</v>
      </c>
      <c r="E128" s="5" t="s">
        <v>563</v>
      </c>
      <c r="F128" s="5" t="s">
        <v>564</v>
      </c>
      <c r="G128" s="5" t="s">
        <v>565</v>
      </c>
      <c r="H128" s="5" t="s">
        <v>566</v>
      </c>
      <c r="I128" s="5" t="s">
        <v>567</v>
      </c>
      <c r="J128" s="35" t="s">
        <v>1429</v>
      </c>
      <c r="K128" s="21" t="s">
        <v>1048</v>
      </c>
      <c r="L128" s="24"/>
      <c r="M128" s="5"/>
      <c r="N128" s="5" t="s">
        <v>1087</v>
      </c>
    </row>
    <row r="129" spans="2:14" ht="18" customHeight="1" x14ac:dyDescent="0.2">
      <c r="B129" s="21">
        <v>121</v>
      </c>
      <c r="C129" s="1" t="s">
        <v>1430</v>
      </c>
      <c r="D129" s="5" t="s">
        <v>1080</v>
      </c>
      <c r="E129" s="5" t="s">
        <v>580</v>
      </c>
      <c r="F129" s="5"/>
      <c r="G129" s="5" t="s">
        <v>501</v>
      </c>
      <c r="H129" s="5" t="s">
        <v>581</v>
      </c>
      <c r="I129" s="5" t="s">
        <v>582</v>
      </c>
      <c r="J129" s="35" t="s">
        <v>1429</v>
      </c>
      <c r="K129" s="21" t="s">
        <v>1048</v>
      </c>
      <c r="L129" s="24"/>
      <c r="M129" s="5"/>
      <c r="N129" s="5" t="s">
        <v>1087</v>
      </c>
    </row>
    <row r="130" spans="2:14" ht="18" customHeight="1" x14ac:dyDescent="0.2">
      <c r="B130" s="21">
        <v>122</v>
      </c>
      <c r="C130" s="1" t="s">
        <v>864</v>
      </c>
      <c r="D130" s="5" t="s">
        <v>1080</v>
      </c>
      <c r="E130" s="5" t="s">
        <v>1431</v>
      </c>
      <c r="F130" s="5"/>
      <c r="G130" s="5" t="s">
        <v>501</v>
      </c>
      <c r="H130" s="5" t="s">
        <v>1432</v>
      </c>
      <c r="I130" s="5" t="s">
        <v>1433</v>
      </c>
      <c r="J130" s="35" t="s">
        <v>1085</v>
      </c>
      <c r="K130" s="21" t="s">
        <v>1048</v>
      </c>
      <c r="L130" s="24"/>
      <c r="M130" s="5"/>
      <c r="N130" s="5" t="s">
        <v>1087</v>
      </c>
    </row>
    <row r="131" spans="2:14" ht="18" customHeight="1" x14ac:dyDescent="0.2">
      <c r="B131" s="21">
        <v>123</v>
      </c>
      <c r="C131" s="1" t="s">
        <v>864</v>
      </c>
      <c r="D131" s="5" t="s">
        <v>1080</v>
      </c>
      <c r="E131" s="5" t="s">
        <v>1434</v>
      </c>
      <c r="F131" s="5"/>
      <c r="G131" s="5" t="s">
        <v>501</v>
      </c>
      <c r="H131" s="5" t="s">
        <v>1435</v>
      </c>
      <c r="I131" s="5" t="s">
        <v>1436</v>
      </c>
      <c r="J131" s="35" t="s">
        <v>1085</v>
      </c>
      <c r="K131" s="21" t="s">
        <v>1086</v>
      </c>
      <c r="L131" s="24"/>
      <c r="M131" s="5"/>
      <c r="N131" s="5" t="s">
        <v>1087</v>
      </c>
    </row>
    <row r="132" spans="2:14" ht="18" customHeight="1" x14ac:dyDescent="0.2">
      <c r="B132" s="21">
        <v>124</v>
      </c>
      <c r="C132" s="1" t="s">
        <v>886</v>
      </c>
      <c r="D132" s="5" t="s">
        <v>1080</v>
      </c>
      <c r="E132" s="5" t="s">
        <v>1437</v>
      </c>
      <c r="F132" s="5" t="s">
        <v>1438</v>
      </c>
      <c r="G132" s="5" t="s">
        <v>469</v>
      </c>
      <c r="H132" s="5"/>
      <c r="I132" s="5"/>
      <c r="J132" s="35" t="s">
        <v>1085</v>
      </c>
      <c r="K132" s="21" t="s">
        <v>1048</v>
      </c>
      <c r="L132" s="24"/>
      <c r="M132" s="5"/>
      <c r="N132" s="5" t="s">
        <v>1087</v>
      </c>
    </row>
    <row r="133" spans="2:14" ht="18" customHeight="1" x14ac:dyDescent="0.2">
      <c r="B133" s="21">
        <v>125</v>
      </c>
      <c r="C133" s="1" t="s">
        <v>886</v>
      </c>
      <c r="D133" s="5" t="s">
        <v>1080</v>
      </c>
      <c r="E133" s="5" t="s">
        <v>1439</v>
      </c>
      <c r="F133" s="5" t="s">
        <v>1440</v>
      </c>
      <c r="G133" s="5" t="s">
        <v>469</v>
      </c>
      <c r="H133" s="5" t="s">
        <v>1441</v>
      </c>
      <c r="I133" s="5" t="s">
        <v>1442</v>
      </c>
      <c r="J133" s="35" t="s">
        <v>1085</v>
      </c>
      <c r="K133" s="21" t="s">
        <v>1048</v>
      </c>
      <c r="L133" s="24"/>
      <c r="M133" s="5"/>
      <c r="N133" s="5" t="s">
        <v>1087</v>
      </c>
    </row>
    <row r="134" spans="2:14" ht="18" customHeight="1" x14ac:dyDescent="0.2">
      <c r="B134" s="21">
        <v>126</v>
      </c>
      <c r="C134" s="1" t="s">
        <v>886</v>
      </c>
      <c r="D134" s="5" t="s">
        <v>1080</v>
      </c>
      <c r="E134" s="5" t="s">
        <v>1443</v>
      </c>
      <c r="F134" s="5" t="s">
        <v>1444</v>
      </c>
      <c r="G134" s="5" t="s">
        <v>1046</v>
      </c>
      <c r="H134" s="5" t="s">
        <v>1445</v>
      </c>
      <c r="I134" s="5" t="s">
        <v>1446</v>
      </c>
      <c r="J134" s="35" t="s">
        <v>1085</v>
      </c>
      <c r="K134" s="21" t="s">
        <v>1048</v>
      </c>
      <c r="L134" s="24"/>
      <c r="M134" s="5"/>
      <c r="N134" s="5" t="s">
        <v>1087</v>
      </c>
    </row>
    <row r="135" spans="2:14" ht="18" customHeight="1" x14ac:dyDescent="0.2">
      <c r="B135" s="21">
        <v>127</v>
      </c>
      <c r="C135" s="1" t="s">
        <v>886</v>
      </c>
      <c r="D135" s="5" t="s">
        <v>1080</v>
      </c>
      <c r="E135" s="5" t="s">
        <v>1447</v>
      </c>
      <c r="F135" s="5" t="s">
        <v>399</v>
      </c>
      <c r="G135" s="5" t="s">
        <v>1046</v>
      </c>
      <c r="H135" s="5" t="s">
        <v>1448</v>
      </c>
      <c r="I135" s="5" t="s">
        <v>1449</v>
      </c>
      <c r="J135" s="35" t="s">
        <v>1085</v>
      </c>
      <c r="K135" s="21" t="s">
        <v>1048</v>
      </c>
      <c r="L135" s="24"/>
      <c r="M135" s="5"/>
      <c r="N135" s="5" t="s">
        <v>1087</v>
      </c>
    </row>
    <row r="136" spans="2:14" ht="18" customHeight="1" x14ac:dyDescent="0.2">
      <c r="B136" s="21">
        <v>128</v>
      </c>
      <c r="C136" s="1" t="s">
        <v>886</v>
      </c>
      <c r="D136" s="5" t="s">
        <v>1080</v>
      </c>
      <c r="E136" s="5" t="s">
        <v>1450</v>
      </c>
      <c r="F136" s="5" t="s">
        <v>1451</v>
      </c>
      <c r="G136" s="5" t="s">
        <v>565</v>
      </c>
      <c r="H136" s="5" t="s">
        <v>1452</v>
      </c>
      <c r="I136" s="5" t="s">
        <v>1453</v>
      </c>
      <c r="J136" s="35" t="s">
        <v>1085</v>
      </c>
      <c r="K136" s="21" t="s">
        <v>1048</v>
      </c>
      <c r="L136" s="24"/>
      <c r="M136" s="5"/>
      <c r="N136" s="5" t="s">
        <v>1087</v>
      </c>
    </row>
    <row r="137" spans="2:14" ht="18" customHeight="1" x14ac:dyDescent="0.2">
      <c r="B137" s="21">
        <v>129</v>
      </c>
      <c r="C137" s="1" t="s">
        <v>886</v>
      </c>
      <c r="D137" s="5" t="s">
        <v>1080</v>
      </c>
      <c r="E137" s="5" t="s">
        <v>1454</v>
      </c>
      <c r="F137" s="5" t="s">
        <v>1455</v>
      </c>
      <c r="G137" s="5" t="s">
        <v>565</v>
      </c>
      <c r="H137" s="5" t="s">
        <v>1456</v>
      </c>
      <c r="I137" s="5" t="s">
        <v>1457</v>
      </c>
      <c r="J137" s="35" t="s">
        <v>1085</v>
      </c>
      <c r="K137" s="21" t="s">
        <v>1086</v>
      </c>
      <c r="L137" s="24"/>
      <c r="M137" s="5"/>
      <c r="N137" s="5" t="s">
        <v>1087</v>
      </c>
    </row>
    <row r="138" spans="2:14" ht="30" customHeight="1" x14ac:dyDescent="0.2">
      <c r="B138" s="21">
        <v>130</v>
      </c>
      <c r="C138" s="1" t="s">
        <v>886</v>
      </c>
      <c r="D138" s="5" t="s">
        <v>1080</v>
      </c>
      <c r="E138" s="5" t="s">
        <v>1458</v>
      </c>
      <c r="F138" s="5" t="s">
        <v>1459</v>
      </c>
      <c r="G138" s="5" t="s">
        <v>481</v>
      </c>
      <c r="H138" s="5" t="s">
        <v>1460</v>
      </c>
      <c r="I138" s="5" t="s">
        <v>1461</v>
      </c>
      <c r="J138" s="35" t="s">
        <v>1085</v>
      </c>
      <c r="K138" s="21" t="s">
        <v>1086</v>
      </c>
      <c r="L138" s="24"/>
      <c r="M138" s="5"/>
      <c r="N138" s="5" t="s">
        <v>1087</v>
      </c>
    </row>
    <row r="139" spans="2:14" ht="18" customHeight="1" x14ac:dyDescent="0.2">
      <c r="B139" s="21">
        <v>131</v>
      </c>
      <c r="C139" s="1" t="s">
        <v>886</v>
      </c>
      <c r="D139" s="5" t="s">
        <v>1080</v>
      </c>
      <c r="E139" s="5" t="s">
        <v>1462</v>
      </c>
      <c r="F139" s="5" t="s">
        <v>1463</v>
      </c>
      <c r="G139" s="5" t="s">
        <v>455</v>
      </c>
      <c r="H139" s="5" t="s">
        <v>1464</v>
      </c>
      <c r="I139" s="5" t="s">
        <v>1465</v>
      </c>
      <c r="J139" s="35" t="s">
        <v>1085</v>
      </c>
      <c r="K139" s="21" t="s">
        <v>1048</v>
      </c>
      <c r="L139" s="24"/>
      <c r="M139" s="5"/>
      <c r="N139" s="5" t="s">
        <v>1087</v>
      </c>
    </row>
    <row r="140" spans="2:14" ht="18" customHeight="1" x14ac:dyDescent="0.2">
      <c r="B140" s="21">
        <v>132</v>
      </c>
      <c r="C140" s="1" t="s">
        <v>850</v>
      </c>
      <c r="D140" s="5" t="s">
        <v>1080</v>
      </c>
      <c r="E140" s="5" t="s">
        <v>1466</v>
      </c>
      <c r="F140" s="5"/>
      <c r="G140" s="5" t="s">
        <v>501</v>
      </c>
      <c r="H140" s="5" t="s">
        <v>1467</v>
      </c>
      <c r="I140" s="5" t="s">
        <v>1468</v>
      </c>
      <c r="J140" s="35" t="s">
        <v>1085</v>
      </c>
      <c r="K140" s="21" t="s">
        <v>1086</v>
      </c>
      <c r="L140" s="24"/>
      <c r="M140" s="5"/>
      <c r="N140" s="5" t="s">
        <v>1087</v>
      </c>
    </row>
    <row r="141" spans="2:14" ht="18" customHeight="1" x14ac:dyDescent="0.2">
      <c r="B141" s="21">
        <v>133</v>
      </c>
      <c r="C141" s="1" t="s">
        <v>850</v>
      </c>
      <c r="D141" s="5" t="s">
        <v>1080</v>
      </c>
      <c r="E141" s="5" t="s">
        <v>1469</v>
      </c>
      <c r="F141" s="5"/>
      <c r="G141" s="5" t="s">
        <v>501</v>
      </c>
      <c r="H141" s="5" t="s">
        <v>1470</v>
      </c>
      <c r="I141" s="5" t="s">
        <v>1471</v>
      </c>
      <c r="J141" s="35" t="s">
        <v>1085</v>
      </c>
      <c r="K141" s="21" t="s">
        <v>1086</v>
      </c>
      <c r="L141" s="24"/>
      <c r="M141" s="5"/>
      <c r="N141" s="5" t="s">
        <v>1087</v>
      </c>
    </row>
    <row r="142" spans="2:14" ht="18" customHeight="1" x14ac:dyDescent="0.2">
      <c r="B142" s="21">
        <v>134</v>
      </c>
      <c r="C142" s="1" t="s">
        <v>850</v>
      </c>
      <c r="D142" s="5" t="s">
        <v>1080</v>
      </c>
      <c r="E142" s="5" t="s">
        <v>1472</v>
      </c>
      <c r="F142" s="5"/>
      <c r="G142" s="5" t="s">
        <v>501</v>
      </c>
      <c r="H142" s="5" t="s">
        <v>1473</v>
      </c>
      <c r="I142" s="5" t="s">
        <v>1474</v>
      </c>
      <c r="J142" s="35" t="s">
        <v>1085</v>
      </c>
      <c r="K142" s="21" t="s">
        <v>1086</v>
      </c>
      <c r="L142" s="24"/>
      <c r="M142" s="5"/>
      <c r="N142" s="5" t="s">
        <v>1087</v>
      </c>
    </row>
    <row r="143" spans="2:14" ht="18" customHeight="1" x14ac:dyDescent="0.2">
      <c r="B143" s="21">
        <v>135</v>
      </c>
      <c r="C143" s="1" t="s">
        <v>850</v>
      </c>
      <c r="D143" s="5" t="s">
        <v>1080</v>
      </c>
      <c r="E143" s="5" t="s">
        <v>1475</v>
      </c>
      <c r="F143" s="5"/>
      <c r="G143" s="5" t="s">
        <v>501</v>
      </c>
      <c r="H143" s="5" t="s">
        <v>1476</v>
      </c>
      <c r="I143" s="5" t="s">
        <v>1477</v>
      </c>
      <c r="J143" s="35" t="s">
        <v>1085</v>
      </c>
      <c r="K143" s="21" t="s">
        <v>1048</v>
      </c>
      <c r="L143" s="24"/>
      <c r="M143" s="5"/>
      <c r="N143" s="5" t="s">
        <v>1087</v>
      </c>
    </row>
    <row r="144" spans="2:14" ht="18" customHeight="1" x14ac:dyDescent="0.2">
      <c r="B144" s="21">
        <v>136</v>
      </c>
      <c r="C144" s="1" t="s">
        <v>850</v>
      </c>
      <c r="D144" s="5" t="s">
        <v>1080</v>
      </c>
      <c r="E144" s="5" t="s">
        <v>1478</v>
      </c>
      <c r="F144" s="5"/>
      <c r="G144" s="5" t="s">
        <v>501</v>
      </c>
      <c r="H144" s="5" t="s">
        <v>1479</v>
      </c>
      <c r="I144" s="5" t="s">
        <v>1480</v>
      </c>
      <c r="J144" s="35" t="s">
        <v>1085</v>
      </c>
      <c r="K144" s="21" t="s">
        <v>1048</v>
      </c>
      <c r="L144" s="24"/>
      <c r="M144" s="5"/>
      <c r="N144" s="5" t="s">
        <v>1087</v>
      </c>
    </row>
    <row r="145" spans="2:14" ht="18" customHeight="1" x14ac:dyDescent="0.2">
      <c r="B145" s="21">
        <v>137</v>
      </c>
      <c r="C145" s="1" t="s">
        <v>850</v>
      </c>
      <c r="D145" s="5" t="s">
        <v>1080</v>
      </c>
      <c r="E145" s="5" t="s">
        <v>1481</v>
      </c>
      <c r="F145" s="5"/>
      <c r="G145" s="5" t="s">
        <v>501</v>
      </c>
      <c r="H145" s="5" t="s">
        <v>1482</v>
      </c>
      <c r="I145" s="5" t="s">
        <v>1483</v>
      </c>
      <c r="J145" s="35" t="s">
        <v>1085</v>
      </c>
      <c r="K145" s="21" t="s">
        <v>1086</v>
      </c>
      <c r="L145" s="24"/>
      <c r="M145" s="5"/>
      <c r="N145" s="5" t="s">
        <v>1087</v>
      </c>
    </row>
    <row r="146" spans="2:14" ht="18" customHeight="1" x14ac:dyDescent="0.2">
      <c r="B146" s="21">
        <v>138</v>
      </c>
      <c r="C146" s="1" t="s">
        <v>853</v>
      </c>
      <c r="D146" s="5" t="s">
        <v>1080</v>
      </c>
      <c r="E146" s="5" t="s">
        <v>1484</v>
      </c>
      <c r="F146" s="5"/>
      <c r="G146" s="5" t="s">
        <v>501</v>
      </c>
      <c r="H146" s="5" t="s">
        <v>1485</v>
      </c>
      <c r="I146" s="5" t="s">
        <v>1486</v>
      </c>
      <c r="J146" s="35" t="s">
        <v>1085</v>
      </c>
      <c r="K146" s="21" t="s">
        <v>1048</v>
      </c>
      <c r="L146" s="24"/>
      <c r="M146" s="5"/>
      <c r="N146" s="5" t="s">
        <v>1087</v>
      </c>
    </row>
    <row r="147" spans="2:14" ht="18" customHeight="1" x14ac:dyDescent="0.2">
      <c r="B147" s="21">
        <v>139</v>
      </c>
      <c r="C147" s="1" t="s">
        <v>853</v>
      </c>
      <c r="D147" s="5" t="s">
        <v>1080</v>
      </c>
      <c r="E147" s="5" t="s">
        <v>1487</v>
      </c>
      <c r="F147" s="5"/>
      <c r="G147" s="5" t="s">
        <v>501</v>
      </c>
      <c r="H147" s="5"/>
      <c r="I147" s="5" t="s">
        <v>1488</v>
      </c>
      <c r="J147" s="35" t="s">
        <v>1085</v>
      </c>
      <c r="K147" s="21" t="s">
        <v>1048</v>
      </c>
      <c r="L147" s="24"/>
      <c r="M147" s="5"/>
      <c r="N147" s="5" t="s">
        <v>1087</v>
      </c>
    </row>
    <row r="148" spans="2:14" ht="18" customHeight="1" x14ac:dyDescent="0.2">
      <c r="B148" s="21">
        <v>140</v>
      </c>
      <c r="C148" s="1" t="s">
        <v>853</v>
      </c>
      <c r="D148" s="5" t="s">
        <v>1080</v>
      </c>
      <c r="E148" s="5" t="s">
        <v>1489</v>
      </c>
      <c r="F148" s="5"/>
      <c r="G148" s="5" t="s">
        <v>501</v>
      </c>
      <c r="H148" s="5" t="s">
        <v>1490</v>
      </c>
      <c r="I148" s="5" t="s">
        <v>1491</v>
      </c>
      <c r="J148" s="35" t="s">
        <v>1085</v>
      </c>
      <c r="K148" s="21" t="s">
        <v>1048</v>
      </c>
      <c r="L148" s="24"/>
      <c r="M148" s="5"/>
      <c r="N148" s="5" t="s">
        <v>1087</v>
      </c>
    </row>
    <row r="149" spans="2:14" ht="18" customHeight="1" x14ac:dyDescent="0.2">
      <c r="B149" s="21">
        <v>141</v>
      </c>
      <c r="C149" s="1" t="s">
        <v>853</v>
      </c>
      <c r="D149" s="5" t="s">
        <v>1080</v>
      </c>
      <c r="E149" s="5" t="s">
        <v>1492</v>
      </c>
      <c r="F149" s="5"/>
      <c r="G149" s="5" t="s">
        <v>501</v>
      </c>
      <c r="H149" s="5"/>
      <c r="I149" s="5" t="s">
        <v>1493</v>
      </c>
      <c r="J149" s="35" t="s">
        <v>1085</v>
      </c>
      <c r="K149" s="21" t="s">
        <v>1048</v>
      </c>
      <c r="L149" s="24"/>
      <c r="M149" s="5"/>
      <c r="N149" s="5" t="s">
        <v>1087</v>
      </c>
    </row>
    <row r="150" spans="2:14" ht="18" customHeight="1" x14ac:dyDescent="0.2">
      <c r="B150" s="21">
        <v>142</v>
      </c>
      <c r="C150" s="1" t="s">
        <v>853</v>
      </c>
      <c r="D150" s="5" t="s">
        <v>1080</v>
      </c>
      <c r="E150" s="5" t="s">
        <v>1494</v>
      </c>
      <c r="F150" s="5"/>
      <c r="G150" s="5" t="s">
        <v>501</v>
      </c>
      <c r="H150" s="5" t="s">
        <v>1495</v>
      </c>
      <c r="I150" s="5" t="s">
        <v>1496</v>
      </c>
      <c r="J150" s="35" t="s">
        <v>1085</v>
      </c>
      <c r="K150" s="21" t="s">
        <v>1048</v>
      </c>
      <c r="L150" s="24"/>
      <c r="M150" s="5"/>
      <c r="N150" s="5" t="s">
        <v>1087</v>
      </c>
    </row>
    <row r="151" spans="2:14" ht="18" customHeight="1" x14ac:dyDescent="0.2">
      <c r="B151" s="21">
        <v>143</v>
      </c>
      <c r="C151" s="1" t="s">
        <v>853</v>
      </c>
      <c r="D151" s="5" t="s">
        <v>1080</v>
      </c>
      <c r="E151" s="5" t="s">
        <v>1497</v>
      </c>
      <c r="F151" s="5"/>
      <c r="G151" s="5" t="s">
        <v>501</v>
      </c>
      <c r="H151" s="5" t="s">
        <v>1498</v>
      </c>
      <c r="I151" s="5" t="s">
        <v>1499</v>
      </c>
      <c r="J151" s="35" t="s">
        <v>1085</v>
      </c>
      <c r="K151" s="21" t="s">
        <v>1048</v>
      </c>
      <c r="L151" s="24"/>
      <c r="M151" s="5"/>
      <c r="N151" s="5" t="s">
        <v>1087</v>
      </c>
    </row>
    <row r="152" spans="2:14" ht="18" customHeight="1" x14ac:dyDescent="0.2">
      <c r="B152" s="21">
        <v>144</v>
      </c>
      <c r="C152" s="1" t="s">
        <v>853</v>
      </c>
      <c r="D152" s="5" t="s">
        <v>1080</v>
      </c>
      <c r="E152" s="5" t="s">
        <v>1500</v>
      </c>
      <c r="F152" s="5"/>
      <c r="G152" s="5" t="s">
        <v>501</v>
      </c>
      <c r="H152" s="5" t="s">
        <v>1501</v>
      </c>
      <c r="I152" s="5" t="s">
        <v>1502</v>
      </c>
      <c r="J152" s="35" t="s">
        <v>1085</v>
      </c>
      <c r="K152" s="21" t="s">
        <v>1048</v>
      </c>
      <c r="L152" s="24"/>
      <c r="M152" s="5"/>
      <c r="N152" s="5" t="s">
        <v>1087</v>
      </c>
    </row>
    <row r="153" spans="2:14" ht="18" customHeight="1" x14ac:dyDescent="0.2">
      <c r="B153" s="21">
        <v>145</v>
      </c>
      <c r="C153" s="1" t="s">
        <v>1503</v>
      </c>
      <c r="D153" s="5" t="s">
        <v>1080</v>
      </c>
      <c r="E153" s="5" t="s">
        <v>1504</v>
      </c>
      <c r="F153" s="5"/>
      <c r="G153" s="5" t="s">
        <v>501</v>
      </c>
      <c r="H153" s="5" t="s">
        <v>1505</v>
      </c>
      <c r="I153" s="5" t="s">
        <v>1506</v>
      </c>
      <c r="J153" s="35" t="s">
        <v>1507</v>
      </c>
      <c r="K153" s="21" t="s">
        <v>1048</v>
      </c>
      <c r="L153" s="24"/>
      <c r="M153" s="5"/>
      <c r="N153" s="5" t="s">
        <v>1087</v>
      </c>
    </row>
    <row r="154" spans="2:14" ht="18" customHeight="1" x14ac:dyDescent="0.2">
      <c r="B154" s="21">
        <v>146</v>
      </c>
      <c r="C154" s="1" t="s">
        <v>1503</v>
      </c>
      <c r="D154" s="5" t="s">
        <v>1080</v>
      </c>
      <c r="E154" s="5" t="s">
        <v>1508</v>
      </c>
      <c r="F154" s="5"/>
      <c r="G154" s="5" t="s">
        <v>501</v>
      </c>
      <c r="H154" s="5" t="s">
        <v>1509</v>
      </c>
      <c r="I154" s="5" t="s">
        <v>1510</v>
      </c>
      <c r="J154" s="35" t="s">
        <v>1507</v>
      </c>
      <c r="K154" s="21" t="s">
        <v>1048</v>
      </c>
      <c r="L154" s="24"/>
      <c r="M154" s="5"/>
      <c r="N154" s="5" t="s">
        <v>1087</v>
      </c>
    </row>
    <row r="155" spans="2:14" ht="18" customHeight="1" x14ac:dyDescent="0.2">
      <c r="B155" s="21">
        <v>147</v>
      </c>
      <c r="C155" s="1" t="s">
        <v>1503</v>
      </c>
      <c r="D155" s="5" t="s">
        <v>1080</v>
      </c>
      <c r="E155" s="5" t="s">
        <v>1511</v>
      </c>
      <c r="F155" s="5"/>
      <c r="G155" s="5" t="s">
        <v>501</v>
      </c>
      <c r="H155" s="5" t="s">
        <v>1512</v>
      </c>
      <c r="I155" s="5" t="s">
        <v>1513</v>
      </c>
      <c r="J155" s="35" t="s">
        <v>1507</v>
      </c>
      <c r="K155" s="21" t="s">
        <v>1086</v>
      </c>
      <c r="L155" s="24"/>
      <c r="M155" s="5"/>
      <c r="N155" s="5" t="s">
        <v>1087</v>
      </c>
    </row>
    <row r="156" spans="2:14" ht="18" customHeight="1" x14ac:dyDescent="0.2">
      <c r="B156" s="21">
        <v>148</v>
      </c>
      <c r="C156" s="1" t="s">
        <v>877</v>
      </c>
      <c r="D156" s="5" t="s">
        <v>1080</v>
      </c>
      <c r="E156" s="5" t="s">
        <v>1514</v>
      </c>
      <c r="F156" s="5"/>
      <c r="G156" s="5" t="s">
        <v>501</v>
      </c>
      <c r="H156" s="5" t="s">
        <v>1515</v>
      </c>
      <c r="I156" s="5" t="s">
        <v>1516</v>
      </c>
      <c r="J156" s="35" t="s">
        <v>1085</v>
      </c>
      <c r="K156" s="21" t="s">
        <v>1086</v>
      </c>
      <c r="L156" s="24"/>
      <c r="M156" s="5"/>
      <c r="N156" s="5" t="s">
        <v>1087</v>
      </c>
    </row>
    <row r="157" spans="2:14" ht="18" customHeight="1" x14ac:dyDescent="0.2">
      <c r="B157" s="21">
        <v>149</v>
      </c>
      <c r="C157" s="1" t="s">
        <v>861</v>
      </c>
      <c r="D157" s="5" t="s">
        <v>1080</v>
      </c>
      <c r="E157" s="5" t="s">
        <v>1517</v>
      </c>
      <c r="F157" s="5" t="s">
        <v>406</v>
      </c>
      <c r="G157" s="5" t="s">
        <v>469</v>
      </c>
      <c r="H157" s="5" t="s">
        <v>1518</v>
      </c>
      <c r="I157" s="5" t="s">
        <v>1519</v>
      </c>
      <c r="J157" s="35" t="s">
        <v>1085</v>
      </c>
      <c r="K157" s="21" t="s">
        <v>1048</v>
      </c>
      <c r="L157" s="24"/>
      <c r="M157" s="5"/>
      <c r="N157" s="5" t="s">
        <v>1087</v>
      </c>
    </row>
    <row r="158" spans="2:14" ht="18" customHeight="1" x14ac:dyDescent="0.2">
      <c r="B158" s="21">
        <v>150</v>
      </c>
      <c r="C158" s="1" t="s">
        <v>861</v>
      </c>
      <c r="D158" s="5" t="s">
        <v>1080</v>
      </c>
      <c r="E158" s="5" t="s">
        <v>1520</v>
      </c>
      <c r="F158" s="5" t="s">
        <v>1521</v>
      </c>
      <c r="G158" s="5" t="s">
        <v>1046</v>
      </c>
      <c r="H158" s="5" t="s">
        <v>1522</v>
      </c>
      <c r="I158" s="5" t="s">
        <v>1523</v>
      </c>
      <c r="J158" s="35" t="s">
        <v>1085</v>
      </c>
      <c r="K158" s="21" t="s">
        <v>1048</v>
      </c>
      <c r="L158" s="24"/>
      <c r="M158" s="5"/>
      <c r="N158" s="5" t="s">
        <v>1087</v>
      </c>
    </row>
    <row r="159" spans="2:14" ht="18" customHeight="1" x14ac:dyDescent="0.2">
      <c r="B159" s="21">
        <v>151</v>
      </c>
      <c r="C159" s="1" t="s">
        <v>861</v>
      </c>
      <c r="D159" s="5" t="s">
        <v>1080</v>
      </c>
      <c r="E159" s="5" t="s">
        <v>1524</v>
      </c>
      <c r="F159" s="5" t="s">
        <v>474</v>
      </c>
      <c r="G159" s="5" t="s">
        <v>475</v>
      </c>
      <c r="H159" s="5" t="s">
        <v>1525</v>
      </c>
      <c r="I159" s="5" t="s">
        <v>1526</v>
      </c>
      <c r="J159" s="35" t="s">
        <v>1085</v>
      </c>
      <c r="K159" s="21" t="s">
        <v>1048</v>
      </c>
      <c r="L159" s="24"/>
      <c r="M159" s="5"/>
      <c r="N159" s="5" t="s">
        <v>1087</v>
      </c>
    </row>
    <row r="160" spans="2:14" ht="18" customHeight="1" x14ac:dyDescent="0.2">
      <c r="B160" s="21">
        <v>152</v>
      </c>
      <c r="C160" s="1" t="s">
        <v>861</v>
      </c>
      <c r="D160" s="5" t="s">
        <v>1080</v>
      </c>
      <c r="E160" s="5" t="s">
        <v>1527</v>
      </c>
      <c r="F160" s="5" t="s">
        <v>1528</v>
      </c>
      <c r="G160" s="5" t="s">
        <v>481</v>
      </c>
      <c r="H160" s="5" t="s">
        <v>1529</v>
      </c>
      <c r="I160" s="5" t="s">
        <v>1530</v>
      </c>
      <c r="J160" s="35" t="s">
        <v>1085</v>
      </c>
      <c r="K160" s="21" t="s">
        <v>1048</v>
      </c>
      <c r="L160" s="24"/>
      <c r="M160" s="5"/>
      <c r="N160" s="5" t="s">
        <v>1087</v>
      </c>
    </row>
    <row r="161" spans="2:14" ht="18" customHeight="1" x14ac:dyDescent="0.2">
      <c r="B161" s="21">
        <v>153</v>
      </c>
      <c r="C161" s="1" t="s">
        <v>861</v>
      </c>
      <c r="D161" s="5" t="s">
        <v>1080</v>
      </c>
      <c r="E161" s="5" t="s">
        <v>1531</v>
      </c>
      <c r="F161" s="5" t="s">
        <v>1234</v>
      </c>
      <c r="G161" s="5" t="s">
        <v>455</v>
      </c>
      <c r="H161" s="5" t="s">
        <v>1532</v>
      </c>
      <c r="I161" s="5" t="s">
        <v>1533</v>
      </c>
      <c r="J161" s="35" t="s">
        <v>1085</v>
      </c>
      <c r="K161" s="21" t="s">
        <v>1048</v>
      </c>
      <c r="L161" s="24"/>
      <c r="M161" s="5"/>
      <c r="N161" s="5" t="s">
        <v>1087</v>
      </c>
    </row>
    <row r="162" spans="2:14" ht="18" customHeight="1" x14ac:dyDescent="0.2">
      <c r="B162" s="21">
        <v>154</v>
      </c>
      <c r="C162" s="1" t="s">
        <v>249</v>
      </c>
      <c r="D162" s="5" t="s">
        <v>1534</v>
      </c>
      <c r="E162" s="5" t="s">
        <v>1535</v>
      </c>
      <c r="F162" s="5"/>
      <c r="G162" s="5" t="s">
        <v>501</v>
      </c>
      <c r="H162" s="5" t="s">
        <v>1536</v>
      </c>
      <c r="I162" s="5" t="s">
        <v>1537</v>
      </c>
      <c r="J162" s="35" t="s">
        <v>1538</v>
      </c>
      <c r="K162" s="21" t="s">
        <v>1048</v>
      </c>
      <c r="L162" s="24"/>
      <c r="M162" s="5"/>
      <c r="N162" s="5" t="s">
        <v>1087</v>
      </c>
    </row>
    <row r="163" spans="2:14" ht="18" customHeight="1" x14ac:dyDescent="0.2">
      <c r="B163" s="21">
        <v>155</v>
      </c>
      <c r="C163" s="1" t="s">
        <v>1539</v>
      </c>
      <c r="D163" s="5" t="s">
        <v>1534</v>
      </c>
      <c r="E163" s="5" t="s">
        <v>1540</v>
      </c>
      <c r="F163" s="5" t="s">
        <v>1541</v>
      </c>
      <c r="G163" s="5" t="s">
        <v>469</v>
      </c>
      <c r="H163" s="5" t="s">
        <v>1542</v>
      </c>
      <c r="I163" s="5" t="s">
        <v>1543</v>
      </c>
      <c r="J163" s="35" t="s">
        <v>1544</v>
      </c>
      <c r="K163" s="21" t="s">
        <v>1048</v>
      </c>
      <c r="L163" s="24"/>
      <c r="M163" s="5"/>
      <c r="N163" s="5" t="s">
        <v>1087</v>
      </c>
    </row>
    <row r="164" spans="2:14" ht="18" customHeight="1" x14ac:dyDescent="0.2">
      <c r="B164" s="21">
        <v>156</v>
      </c>
      <c r="C164" s="1" t="s">
        <v>1539</v>
      </c>
      <c r="D164" s="5" t="s">
        <v>1534</v>
      </c>
      <c r="E164" s="5" t="s">
        <v>1545</v>
      </c>
      <c r="F164" s="5" t="s">
        <v>474</v>
      </c>
      <c r="G164" s="5" t="s">
        <v>475</v>
      </c>
      <c r="H164" s="5" t="s">
        <v>1546</v>
      </c>
      <c r="I164" s="5" t="s">
        <v>1547</v>
      </c>
      <c r="J164" s="35" t="s">
        <v>1544</v>
      </c>
      <c r="K164" s="21" t="s">
        <v>1048</v>
      </c>
      <c r="L164" s="24"/>
      <c r="M164" s="5"/>
      <c r="N164" s="5" t="s">
        <v>1087</v>
      </c>
    </row>
    <row r="165" spans="2:14" ht="30" customHeight="1" x14ac:dyDescent="0.2">
      <c r="B165" s="21">
        <v>157</v>
      </c>
      <c r="C165" s="1" t="s">
        <v>1539</v>
      </c>
      <c r="D165" s="5" t="s">
        <v>1534</v>
      </c>
      <c r="E165" s="5" t="s">
        <v>1548</v>
      </c>
      <c r="F165" s="5" t="s">
        <v>1549</v>
      </c>
      <c r="G165" s="5" t="s">
        <v>481</v>
      </c>
      <c r="H165" s="5" t="s">
        <v>1550</v>
      </c>
      <c r="I165" s="5" t="s">
        <v>1551</v>
      </c>
      <c r="J165" s="35" t="s">
        <v>1544</v>
      </c>
      <c r="K165" s="21" t="s">
        <v>1048</v>
      </c>
      <c r="L165" s="24"/>
      <c r="M165" s="5"/>
      <c r="N165" s="5" t="s">
        <v>1087</v>
      </c>
    </row>
    <row r="166" spans="2:14" ht="18" customHeight="1" x14ac:dyDescent="0.2">
      <c r="B166" s="21">
        <v>158</v>
      </c>
      <c r="C166" s="1" t="s">
        <v>1539</v>
      </c>
      <c r="D166" s="5" t="s">
        <v>1534</v>
      </c>
      <c r="E166" s="5" t="s">
        <v>1552</v>
      </c>
      <c r="F166" s="5" t="s">
        <v>1553</v>
      </c>
      <c r="G166" s="5" t="s">
        <v>481</v>
      </c>
      <c r="H166" s="5" t="s">
        <v>1554</v>
      </c>
      <c r="I166" s="5" t="s">
        <v>1555</v>
      </c>
      <c r="J166" s="35" t="s">
        <v>1544</v>
      </c>
      <c r="K166" s="21" t="s">
        <v>1048</v>
      </c>
      <c r="L166" s="24"/>
      <c r="M166" s="5"/>
      <c r="N166" s="5" t="s">
        <v>1087</v>
      </c>
    </row>
    <row r="167" spans="2:14" ht="30" customHeight="1" x14ac:dyDescent="0.2">
      <c r="B167" s="21">
        <v>159</v>
      </c>
      <c r="C167" s="1" t="s">
        <v>1539</v>
      </c>
      <c r="D167" s="5" t="s">
        <v>1534</v>
      </c>
      <c r="E167" s="5" t="s">
        <v>1556</v>
      </c>
      <c r="F167" s="5" t="s">
        <v>1557</v>
      </c>
      <c r="G167" s="5" t="s">
        <v>481</v>
      </c>
      <c r="H167" s="5" t="s">
        <v>1558</v>
      </c>
      <c r="I167" s="5" t="s">
        <v>1559</v>
      </c>
      <c r="J167" s="35" t="s">
        <v>1544</v>
      </c>
      <c r="K167" s="21" t="s">
        <v>1048</v>
      </c>
      <c r="L167" s="24"/>
      <c r="M167" s="5"/>
      <c r="N167" s="5" t="s">
        <v>1087</v>
      </c>
    </row>
    <row r="168" spans="2:14" ht="18" customHeight="1" x14ac:dyDescent="0.2">
      <c r="B168" s="21">
        <v>160</v>
      </c>
      <c r="C168" s="1" t="s">
        <v>1539</v>
      </c>
      <c r="D168" s="5" t="s">
        <v>1534</v>
      </c>
      <c r="E168" s="5" t="s">
        <v>1560</v>
      </c>
      <c r="F168" s="5" t="s">
        <v>1561</v>
      </c>
      <c r="G168" s="5" t="s">
        <v>455</v>
      </c>
      <c r="H168" s="5" t="s">
        <v>1562</v>
      </c>
      <c r="I168" s="5" t="s">
        <v>1563</v>
      </c>
      <c r="J168" s="35" t="s">
        <v>1544</v>
      </c>
      <c r="K168" s="21" t="s">
        <v>1048</v>
      </c>
      <c r="L168" s="24"/>
      <c r="M168" s="5"/>
      <c r="N168" s="5" t="s">
        <v>1087</v>
      </c>
    </row>
    <row r="169" spans="2:14" ht="18" customHeight="1" x14ac:dyDescent="0.2">
      <c r="B169" s="21">
        <v>161</v>
      </c>
      <c r="C169" s="1" t="s">
        <v>1539</v>
      </c>
      <c r="D169" s="5" t="s">
        <v>1534</v>
      </c>
      <c r="E169" s="5" t="s">
        <v>1564</v>
      </c>
      <c r="F169" s="5" t="s">
        <v>1170</v>
      </c>
      <c r="G169" s="5" t="s">
        <v>455</v>
      </c>
      <c r="H169" s="5" t="s">
        <v>1565</v>
      </c>
      <c r="I169" s="5" t="s">
        <v>1566</v>
      </c>
      <c r="J169" s="35" t="s">
        <v>1544</v>
      </c>
      <c r="K169" s="21" t="s">
        <v>1048</v>
      </c>
      <c r="L169" s="24"/>
      <c r="M169" s="5"/>
      <c r="N169" s="5" t="s">
        <v>1087</v>
      </c>
    </row>
    <row r="170" spans="2:14" ht="18" customHeight="1" x14ac:dyDescent="0.2">
      <c r="B170" s="21">
        <v>162</v>
      </c>
      <c r="C170" s="1" t="s">
        <v>1567</v>
      </c>
      <c r="D170" s="5" t="s">
        <v>1534</v>
      </c>
      <c r="E170" s="5" t="s">
        <v>1568</v>
      </c>
      <c r="F170" s="5" t="s">
        <v>1569</v>
      </c>
      <c r="G170" s="5" t="s">
        <v>469</v>
      </c>
      <c r="H170" s="5" t="s">
        <v>1570</v>
      </c>
      <c r="I170" s="5"/>
      <c r="J170" s="35" t="s">
        <v>1571</v>
      </c>
      <c r="K170" s="21" t="s">
        <v>1048</v>
      </c>
      <c r="L170" s="24"/>
      <c r="M170" s="5"/>
      <c r="N170" s="5" t="s">
        <v>1087</v>
      </c>
    </row>
    <row r="171" spans="2:14" ht="30" customHeight="1" x14ac:dyDescent="0.2">
      <c r="B171" s="21">
        <v>163</v>
      </c>
      <c r="C171" s="1" t="s">
        <v>1567</v>
      </c>
      <c r="D171" s="5" t="s">
        <v>1534</v>
      </c>
      <c r="E171" s="5" t="s">
        <v>1572</v>
      </c>
      <c r="F171" s="5" t="s">
        <v>1131</v>
      </c>
      <c r="G171" s="5" t="s">
        <v>565</v>
      </c>
      <c r="H171" s="5" t="s">
        <v>1573</v>
      </c>
      <c r="I171" s="5" t="s">
        <v>1574</v>
      </c>
      <c r="J171" s="35" t="s">
        <v>1571</v>
      </c>
      <c r="K171" s="21" t="s">
        <v>1086</v>
      </c>
      <c r="L171" s="24"/>
      <c r="M171" s="5"/>
      <c r="N171" s="5" t="s">
        <v>1087</v>
      </c>
    </row>
    <row r="172" spans="2:14" ht="18" customHeight="1" x14ac:dyDescent="0.2">
      <c r="B172" s="21">
        <v>164</v>
      </c>
      <c r="C172" s="1" t="s">
        <v>1575</v>
      </c>
      <c r="D172" s="5" t="s">
        <v>1576</v>
      </c>
      <c r="E172" s="5" t="s">
        <v>1577</v>
      </c>
      <c r="F172" s="5" t="s">
        <v>1578</v>
      </c>
      <c r="G172" s="5" t="s">
        <v>565</v>
      </c>
      <c r="H172" s="5" t="s">
        <v>1579</v>
      </c>
      <c r="I172" s="5" t="s">
        <v>1580</v>
      </c>
      <c r="J172" s="35" t="s">
        <v>1581</v>
      </c>
      <c r="K172" s="21" t="s">
        <v>1086</v>
      </c>
      <c r="L172" s="24"/>
      <c r="M172" s="5"/>
      <c r="N172" s="5" t="s">
        <v>1087</v>
      </c>
    </row>
    <row r="173" spans="2:14" ht="18" customHeight="1" x14ac:dyDescent="0.2">
      <c r="B173" s="21">
        <v>165</v>
      </c>
      <c r="C173" s="1" t="s">
        <v>1575</v>
      </c>
      <c r="D173" s="5" t="s">
        <v>1576</v>
      </c>
      <c r="E173" s="5" t="s">
        <v>1582</v>
      </c>
      <c r="F173" s="5" t="s">
        <v>1583</v>
      </c>
      <c r="G173" s="5" t="s">
        <v>565</v>
      </c>
      <c r="H173" s="5" t="s">
        <v>1584</v>
      </c>
      <c r="I173" s="5" t="s">
        <v>1585</v>
      </c>
      <c r="J173" s="35" t="s">
        <v>1581</v>
      </c>
      <c r="K173" s="21" t="s">
        <v>1086</v>
      </c>
      <c r="L173" s="24"/>
      <c r="M173" s="5"/>
      <c r="N173" s="5" t="s">
        <v>1087</v>
      </c>
    </row>
    <row r="174" spans="2:14" ht="18" customHeight="1" x14ac:dyDescent="0.2">
      <c r="B174" s="21">
        <v>166</v>
      </c>
      <c r="C174" s="1" t="s">
        <v>1575</v>
      </c>
      <c r="D174" s="5" t="s">
        <v>1576</v>
      </c>
      <c r="E174" s="5" t="s">
        <v>1586</v>
      </c>
      <c r="F174" s="5" t="s">
        <v>1587</v>
      </c>
      <c r="G174" s="5" t="s">
        <v>481</v>
      </c>
      <c r="H174" s="5" t="s">
        <v>1584</v>
      </c>
      <c r="I174" s="5" t="s">
        <v>1588</v>
      </c>
      <c r="J174" s="35" t="s">
        <v>1581</v>
      </c>
      <c r="K174" s="21" t="s">
        <v>1086</v>
      </c>
      <c r="L174" s="24"/>
      <c r="M174" s="5"/>
      <c r="N174" s="5" t="s">
        <v>1087</v>
      </c>
    </row>
    <row r="175" spans="2:14" ht="18" customHeight="1" x14ac:dyDescent="0.2">
      <c r="B175" s="21">
        <v>167</v>
      </c>
      <c r="C175" s="1" t="s">
        <v>1589</v>
      </c>
      <c r="D175" s="5" t="s">
        <v>1576</v>
      </c>
      <c r="E175" s="5" t="s">
        <v>1590</v>
      </c>
      <c r="F175" s="5" t="s">
        <v>1591</v>
      </c>
      <c r="G175" s="5" t="s">
        <v>565</v>
      </c>
      <c r="H175" s="5" t="s">
        <v>1592</v>
      </c>
      <c r="I175" s="5" t="s">
        <v>1593</v>
      </c>
      <c r="J175" s="35" t="s">
        <v>1594</v>
      </c>
      <c r="K175" s="21" t="s">
        <v>1086</v>
      </c>
      <c r="L175" s="24"/>
      <c r="M175" s="5"/>
      <c r="N175" s="5" t="s">
        <v>1087</v>
      </c>
    </row>
    <row r="176" spans="2:14" ht="18" customHeight="1" x14ac:dyDescent="0.2">
      <c r="B176" s="21">
        <v>168</v>
      </c>
      <c r="C176" s="1" t="s">
        <v>1589</v>
      </c>
      <c r="D176" s="5" t="s">
        <v>1576</v>
      </c>
      <c r="E176" s="5" t="s">
        <v>1595</v>
      </c>
      <c r="F176" s="5" t="s">
        <v>1596</v>
      </c>
      <c r="G176" s="5" t="s">
        <v>481</v>
      </c>
      <c r="H176" s="5" t="s">
        <v>1597</v>
      </c>
      <c r="I176" s="5" t="s">
        <v>1598</v>
      </c>
      <c r="J176" s="35" t="s">
        <v>1594</v>
      </c>
      <c r="K176" s="21" t="s">
        <v>1086</v>
      </c>
      <c r="L176" s="24"/>
      <c r="M176" s="5"/>
      <c r="N176" s="5" t="s">
        <v>1087</v>
      </c>
    </row>
    <row r="177" spans="2:14" ht="30" customHeight="1" x14ac:dyDescent="0.2">
      <c r="B177" s="21">
        <v>169</v>
      </c>
      <c r="C177" s="1" t="s">
        <v>1589</v>
      </c>
      <c r="D177" s="5" t="s">
        <v>1576</v>
      </c>
      <c r="E177" s="5" t="s">
        <v>1599</v>
      </c>
      <c r="F177" s="5" t="s">
        <v>1600</v>
      </c>
      <c r="G177" s="5" t="s">
        <v>481</v>
      </c>
      <c r="H177" s="5" t="s">
        <v>1601</v>
      </c>
      <c r="I177" s="5" t="s">
        <v>1602</v>
      </c>
      <c r="J177" s="35" t="s">
        <v>1594</v>
      </c>
      <c r="K177" s="21" t="s">
        <v>1086</v>
      </c>
      <c r="L177" s="24"/>
      <c r="M177" s="5"/>
      <c r="N177" s="5" t="s">
        <v>1087</v>
      </c>
    </row>
    <row r="178" spans="2:14" ht="18" customHeight="1" x14ac:dyDescent="0.2">
      <c r="B178" s="21">
        <v>170</v>
      </c>
      <c r="C178" s="1" t="s">
        <v>1589</v>
      </c>
      <c r="D178" s="5" t="s">
        <v>1576</v>
      </c>
      <c r="E178" s="5" t="s">
        <v>1603</v>
      </c>
      <c r="F178" s="5" t="s">
        <v>1604</v>
      </c>
      <c r="G178" s="5" t="s">
        <v>481</v>
      </c>
      <c r="H178" s="5" t="s">
        <v>1605</v>
      </c>
      <c r="I178" s="5" t="s">
        <v>1606</v>
      </c>
      <c r="J178" s="35" t="s">
        <v>1594</v>
      </c>
      <c r="K178" s="21" t="s">
        <v>1086</v>
      </c>
      <c r="L178" s="24"/>
      <c r="M178" s="5"/>
      <c r="N178" s="5" t="s">
        <v>1087</v>
      </c>
    </row>
    <row r="179" spans="2:14" ht="18" customHeight="1" x14ac:dyDescent="0.2">
      <c r="B179" s="21">
        <v>171</v>
      </c>
      <c r="C179" s="1" t="s">
        <v>1589</v>
      </c>
      <c r="D179" s="5" t="s">
        <v>1576</v>
      </c>
      <c r="E179" s="5" t="s">
        <v>1607</v>
      </c>
      <c r="F179" s="5" t="s">
        <v>1608</v>
      </c>
      <c r="G179" s="5" t="s">
        <v>481</v>
      </c>
      <c r="H179" s="5" t="s">
        <v>1609</v>
      </c>
      <c r="I179" s="5" t="s">
        <v>1610</v>
      </c>
      <c r="J179" s="35" t="s">
        <v>1594</v>
      </c>
      <c r="K179" s="21" t="s">
        <v>1086</v>
      </c>
      <c r="L179" s="24"/>
      <c r="M179" s="5"/>
      <c r="N179" s="5" t="s">
        <v>1087</v>
      </c>
    </row>
    <row r="180" spans="2:14" ht="18" customHeight="1" x14ac:dyDescent="0.2">
      <c r="B180" s="21">
        <v>172</v>
      </c>
      <c r="C180" s="1" t="s">
        <v>1589</v>
      </c>
      <c r="D180" s="5" t="s">
        <v>1576</v>
      </c>
      <c r="E180" s="5" t="s">
        <v>1611</v>
      </c>
      <c r="F180" s="5" t="s">
        <v>1612</v>
      </c>
      <c r="G180" s="5" t="s">
        <v>481</v>
      </c>
      <c r="H180" s="5" t="s">
        <v>1613</v>
      </c>
      <c r="I180" s="5" t="s">
        <v>1614</v>
      </c>
      <c r="J180" s="35" t="s">
        <v>1594</v>
      </c>
      <c r="K180" s="21" t="s">
        <v>1086</v>
      </c>
      <c r="L180" s="24"/>
      <c r="M180" s="5"/>
      <c r="N180" s="5" t="s">
        <v>1087</v>
      </c>
    </row>
    <row r="181" spans="2:14" ht="18" customHeight="1" x14ac:dyDescent="0.2">
      <c r="B181" s="21">
        <v>173</v>
      </c>
      <c r="C181" s="1" t="s">
        <v>1589</v>
      </c>
      <c r="D181" s="5" t="s">
        <v>1576</v>
      </c>
      <c r="E181" s="5" t="s">
        <v>1615</v>
      </c>
      <c r="F181" s="5" t="s">
        <v>1616</v>
      </c>
      <c r="G181" s="5" t="s">
        <v>481</v>
      </c>
      <c r="H181" s="5" t="s">
        <v>1617</v>
      </c>
      <c r="I181" s="5" t="s">
        <v>1618</v>
      </c>
      <c r="J181" s="35" t="s">
        <v>1594</v>
      </c>
      <c r="K181" s="21" t="s">
        <v>1086</v>
      </c>
      <c r="L181" s="24"/>
      <c r="M181" s="5"/>
      <c r="N181" s="5" t="s">
        <v>1087</v>
      </c>
    </row>
    <row r="182" spans="2:14" ht="18" customHeight="1" x14ac:dyDescent="0.2">
      <c r="B182" s="21">
        <v>174</v>
      </c>
      <c r="C182" s="1" t="s">
        <v>1589</v>
      </c>
      <c r="D182" s="5" t="s">
        <v>1576</v>
      </c>
      <c r="E182" s="5" t="s">
        <v>1619</v>
      </c>
      <c r="F182" s="5" t="s">
        <v>1620</v>
      </c>
      <c r="G182" s="5" t="s">
        <v>481</v>
      </c>
      <c r="H182" s="5" t="s">
        <v>1621</v>
      </c>
      <c r="I182" s="5" t="s">
        <v>1622</v>
      </c>
      <c r="J182" s="35" t="s">
        <v>1594</v>
      </c>
      <c r="K182" s="21" t="s">
        <v>1086</v>
      </c>
      <c r="L182" s="24"/>
      <c r="M182" s="5"/>
      <c r="N182" s="5" t="s">
        <v>1087</v>
      </c>
    </row>
    <row r="183" spans="2:14" ht="30" customHeight="1" x14ac:dyDescent="0.2">
      <c r="B183" s="21">
        <v>175</v>
      </c>
      <c r="C183" s="1" t="s">
        <v>1589</v>
      </c>
      <c r="D183" s="5" t="s">
        <v>1576</v>
      </c>
      <c r="E183" s="5" t="s">
        <v>1623</v>
      </c>
      <c r="F183" s="5" t="s">
        <v>1624</v>
      </c>
      <c r="G183" s="5" t="s">
        <v>497</v>
      </c>
      <c r="H183" s="5" t="s">
        <v>1625</v>
      </c>
      <c r="I183" s="5" t="s">
        <v>1626</v>
      </c>
      <c r="J183" s="35" t="s">
        <v>1594</v>
      </c>
      <c r="K183" s="21" t="s">
        <v>1086</v>
      </c>
      <c r="L183" s="24"/>
      <c r="M183" s="5"/>
      <c r="N183" s="5" t="s">
        <v>1087</v>
      </c>
    </row>
    <row r="184" spans="2:14" ht="30" customHeight="1" x14ac:dyDescent="0.2">
      <c r="B184" s="21">
        <v>176</v>
      </c>
      <c r="C184" s="1" t="s">
        <v>1589</v>
      </c>
      <c r="D184" s="5" t="s">
        <v>1576</v>
      </c>
      <c r="E184" s="5" t="s">
        <v>1627</v>
      </c>
      <c r="F184" s="5" t="s">
        <v>1624</v>
      </c>
      <c r="G184" s="5" t="s">
        <v>497</v>
      </c>
      <c r="H184" s="5" t="s">
        <v>1628</v>
      </c>
      <c r="I184" s="5" t="s">
        <v>1626</v>
      </c>
      <c r="J184" s="35" t="s">
        <v>1594</v>
      </c>
      <c r="K184" s="21" t="s">
        <v>1048</v>
      </c>
      <c r="L184" s="24"/>
      <c r="M184" s="5"/>
      <c r="N184" s="5" t="s">
        <v>1087</v>
      </c>
    </row>
    <row r="185" spans="2:14" ht="18" customHeight="1" x14ac:dyDescent="0.2">
      <c r="B185" s="21">
        <v>177</v>
      </c>
      <c r="C185" s="1" t="s">
        <v>1589</v>
      </c>
      <c r="D185" s="5" t="s">
        <v>1576</v>
      </c>
      <c r="E185" s="5" t="s">
        <v>1629</v>
      </c>
      <c r="F185" s="5"/>
      <c r="G185" s="5" t="s">
        <v>501</v>
      </c>
      <c r="H185" s="5"/>
      <c r="I185" s="5"/>
      <c r="J185" s="35" t="s">
        <v>1594</v>
      </c>
      <c r="K185" s="21" t="s">
        <v>1048</v>
      </c>
      <c r="L185" s="24"/>
      <c r="M185" s="5"/>
      <c r="N185" s="5" t="s">
        <v>1087</v>
      </c>
    </row>
    <row r="186" spans="2:14" ht="18" customHeight="1" x14ac:dyDescent="0.2">
      <c r="B186" s="21">
        <v>178</v>
      </c>
      <c r="C186" s="1" t="s">
        <v>1630</v>
      </c>
      <c r="D186" s="5" t="s">
        <v>1576</v>
      </c>
      <c r="E186" s="5" t="s">
        <v>1631</v>
      </c>
      <c r="F186" s="5"/>
      <c r="G186" s="5" t="s">
        <v>501</v>
      </c>
      <c r="H186" s="5"/>
      <c r="I186" s="5" t="s">
        <v>1632</v>
      </c>
      <c r="J186" s="35" t="s">
        <v>1594</v>
      </c>
      <c r="K186" s="21" t="s">
        <v>1048</v>
      </c>
      <c r="L186" s="24"/>
      <c r="M186" s="5"/>
      <c r="N186" s="5" t="s">
        <v>1087</v>
      </c>
    </row>
    <row r="187" spans="2:14" ht="18" customHeight="1" x14ac:dyDescent="0.2">
      <c r="B187" s="21">
        <v>179</v>
      </c>
      <c r="C187" s="1" t="s">
        <v>1630</v>
      </c>
      <c r="D187" s="5" t="s">
        <v>1576</v>
      </c>
      <c r="E187" s="5" t="s">
        <v>1633</v>
      </c>
      <c r="F187" s="5"/>
      <c r="G187" s="5" t="s">
        <v>501</v>
      </c>
      <c r="H187" s="5"/>
      <c r="I187" s="5" t="s">
        <v>1634</v>
      </c>
      <c r="J187" s="35" t="s">
        <v>1594</v>
      </c>
      <c r="K187" s="21" t="s">
        <v>1048</v>
      </c>
      <c r="L187" s="24"/>
      <c r="M187" s="5"/>
      <c r="N187" s="5" t="s">
        <v>1087</v>
      </c>
    </row>
    <row r="188" spans="2:14" ht="18" customHeight="1" x14ac:dyDescent="0.2">
      <c r="B188" s="21">
        <v>180</v>
      </c>
      <c r="C188" s="1" t="s">
        <v>1630</v>
      </c>
      <c r="D188" s="5" t="s">
        <v>1576</v>
      </c>
      <c r="E188" s="5" t="s">
        <v>1635</v>
      </c>
      <c r="F188" s="5"/>
      <c r="G188" s="5" t="s">
        <v>501</v>
      </c>
      <c r="H188" s="5"/>
      <c r="I188" s="5" t="s">
        <v>1636</v>
      </c>
      <c r="J188" s="35" t="s">
        <v>1594</v>
      </c>
      <c r="K188" s="21" t="s">
        <v>1048</v>
      </c>
      <c r="L188" s="24"/>
      <c r="M188" s="5"/>
      <c r="N188" s="5" t="s">
        <v>1087</v>
      </c>
    </row>
    <row r="189" spans="2:14" ht="18" customHeight="1" x14ac:dyDescent="0.2">
      <c r="B189" s="21">
        <v>181</v>
      </c>
      <c r="C189" s="1" t="s">
        <v>1630</v>
      </c>
      <c r="D189" s="5" t="s">
        <v>1576</v>
      </c>
      <c r="E189" s="5" t="s">
        <v>1637</v>
      </c>
      <c r="F189" s="5"/>
      <c r="G189" s="5" t="s">
        <v>501</v>
      </c>
      <c r="H189" s="5" t="s">
        <v>1638</v>
      </c>
      <c r="I189" s="5" t="s">
        <v>1639</v>
      </c>
      <c r="J189" s="35" t="s">
        <v>1594</v>
      </c>
      <c r="K189" s="21" t="s">
        <v>1086</v>
      </c>
      <c r="L189" s="24"/>
      <c r="M189" s="5"/>
      <c r="N189" s="5" t="s">
        <v>1087</v>
      </c>
    </row>
    <row r="190" spans="2:14" ht="18" customHeight="1" x14ac:dyDescent="0.2">
      <c r="B190" s="21">
        <v>182</v>
      </c>
      <c r="C190" s="1" t="s">
        <v>1640</v>
      </c>
      <c r="D190" s="5" t="s">
        <v>1576</v>
      </c>
      <c r="E190" s="5" t="s">
        <v>601</v>
      </c>
      <c r="F190" s="5" t="s">
        <v>406</v>
      </c>
      <c r="G190" s="5" t="s">
        <v>469</v>
      </c>
      <c r="H190" s="5" t="s">
        <v>602</v>
      </c>
      <c r="I190" s="5" t="s">
        <v>603</v>
      </c>
      <c r="J190" s="35" t="s">
        <v>1641</v>
      </c>
      <c r="K190" s="21" t="s">
        <v>1086</v>
      </c>
      <c r="L190" s="24"/>
      <c r="M190" s="5"/>
      <c r="N190" s="5" t="s">
        <v>1087</v>
      </c>
    </row>
    <row r="191" spans="2:14" ht="18" customHeight="1" x14ac:dyDescent="0.2">
      <c r="B191" s="21">
        <v>183</v>
      </c>
      <c r="C191" s="1" t="s">
        <v>1640</v>
      </c>
      <c r="D191" s="5" t="s">
        <v>1576</v>
      </c>
      <c r="E191" s="5" t="s">
        <v>604</v>
      </c>
      <c r="F191" s="5" t="s">
        <v>605</v>
      </c>
      <c r="G191" s="5" t="s">
        <v>475</v>
      </c>
      <c r="H191" s="5" t="s">
        <v>606</v>
      </c>
      <c r="I191" s="5" t="s">
        <v>607</v>
      </c>
      <c r="J191" s="35" t="s">
        <v>1641</v>
      </c>
      <c r="K191" s="21" t="s">
        <v>1048</v>
      </c>
      <c r="L191" s="24"/>
      <c r="M191" s="5" t="s">
        <v>608</v>
      </c>
      <c r="N191" s="5" t="s">
        <v>1087</v>
      </c>
    </row>
    <row r="192" spans="2:14" ht="18" customHeight="1" x14ac:dyDescent="0.2">
      <c r="B192" s="21">
        <v>184</v>
      </c>
      <c r="C192" s="1" t="s">
        <v>1640</v>
      </c>
      <c r="D192" s="5" t="s">
        <v>1576</v>
      </c>
      <c r="E192" s="5" t="s">
        <v>609</v>
      </c>
      <c r="F192" s="5" t="s">
        <v>610</v>
      </c>
      <c r="G192" s="5" t="s">
        <v>565</v>
      </c>
      <c r="H192" s="5" t="s">
        <v>611</v>
      </c>
      <c r="I192" s="5" t="s">
        <v>612</v>
      </c>
      <c r="J192" s="35" t="s">
        <v>1641</v>
      </c>
      <c r="K192" s="21" t="s">
        <v>1086</v>
      </c>
      <c r="L192" s="24"/>
      <c r="M192" s="5" t="s">
        <v>613</v>
      </c>
      <c r="N192" s="5" t="s">
        <v>1087</v>
      </c>
    </row>
    <row r="193" spans="2:14" ht="30" customHeight="1" x14ac:dyDescent="0.2">
      <c r="B193" s="21">
        <v>185</v>
      </c>
      <c r="C193" s="1" t="s">
        <v>1640</v>
      </c>
      <c r="D193" s="5" t="s">
        <v>1576</v>
      </c>
      <c r="E193" s="5" t="s">
        <v>614</v>
      </c>
      <c r="F193" s="5" t="s">
        <v>615</v>
      </c>
      <c r="G193" s="5" t="s">
        <v>481</v>
      </c>
      <c r="H193" s="5" t="s">
        <v>616</v>
      </c>
      <c r="I193" s="5" t="s">
        <v>617</v>
      </c>
      <c r="J193" s="35" t="s">
        <v>1641</v>
      </c>
      <c r="K193" s="21" t="s">
        <v>1086</v>
      </c>
      <c r="L193" s="24"/>
      <c r="M193" s="5"/>
      <c r="N193" s="5" t="s">
        <v>1087</v>
      </c>
    </row>
    <row r="194" spans="2:14" ht="18" customHeight="1" x14ac:dyDescent="0.2">
      <c r="B194" s="21">
        <v>186</v>
      </c>
      <c r="C194" s="1" t="s">
        <v>1640</v>
      </c>
      <c r="D194" s="5" t="s">
        <v>1576</v>
      </c>
      <c r="E194" s="5" t="s">
        <v>626</v>
      </c>
      <c r="F194" s="5" t="s">
        <v>627</v>
      </c>
      <c r="G194" s="5" t="s">
        <v>481</v>
      </c>
      <c r="H194" s="5" t="s">
        <v>628</v>
      </c>
      <c r="I194" s="5" t="s">
        <v>629</v>
      </c>
      <c r="J194" s="35" t="s">
        <v>1641</v>
      </c>
      <c r="K194" s="21" t="s">
        <v>1048</v>
      </c>
      <c r="L194" s="24"/>
      <c r="M194" s="5"/>
      <c r="N194" s="5" t="s">
        <v>1087</v>
      </c>
    </row>
    <row r="195" spans="2:14" ht="18" customHeight="1" x14ac:dyDescent="0.2">
      <c r="B195" s="21">
        <v>187</v>
      </c>
      <c r="C195" s="1" t="s">
        <v>1640</v>
      </c>
      <c r="D195" s="5" t="s">
        <v>1576</v>
      </c>
      <c r="E195" s="5" t="s">
        <v>618</v>
      </c>
      <c r="F195" s="5" t="s">
        <v>619</v>
      </c>
      <c r="G195" s="5" t="s">
        <v>481</v>
      </c>
      <c r="H195" s="5" t="s">
        <v>620</v>
      </c>
      <c r="I195" s="5" t="s">
        <v>621</v>
      </c>
      <c r="J195" s="35" t="s">
        <v>1641</v>
      </c>
      <c r="K195" s="21" t="s">
        <v>1086</v>
      </c>
      <c r="L195" s="24"/>
      <c r="M195" s="5"/>
      <c r="N195" s="5" t="s">
        <v>1087</v>
      </c>
    </row>
    <row r="196" spans="2:14" ht="18" customHeight="1" x14ac:dyDescent="0.2">
      <c r="B196" s="21">
        <v>188</v>
      </c>
      <c r="C196" s="1" t="s">
        <v>1640</v>
      </c>
      <c r="D196" s="5" t="s">
        <v>1576</v>
      </c>
      <c r="E196" s="5" t="s">
        <v>622</v>
      </c>
      <c r="F196" s="5" t="s">
        <v>623</v>
      </c>
      <c r="G196" s="5" t="s">
        <v>481</v>
      </c>
      <c r="H196" s="5" t="s">
        <v>624</v>
      </c>
      <c r="I196" s="5" t="s">
        <v>625</v>
      </c>
      <c r="J196" s="35" t="s">
        <v>1641</v>
      </c>
      <c r="K196" s="21" t="s">
        <v>1086</v>
      </c>
      <c r="L196" s="24"/>
      <c r="M196" s="5"/>
      <c r="N196" s="5" t="s">
        <v>1087</v>
      </c>
    </row>
    <row r="197" spans="2:14" ht="30" customHeight="1" x14ac:dyDescent="0.2">
      <c r="B197" s="21">
        <v>189</v>
      </c>
      <c r="C197" s="1" t="s">
        <v>1640</v>
      </c>
      <c r="D197" s="5" t="s">
        <v>1576</v>
      </c>
      <c r="E197" s="5" t="s">
        <v>630</v>
      </c>
      <c r="F197" s="5" t="s">
        <v>631</v>
      </c>
      <c r="G197" s="5" t="s">
        <v>455</v>
      </c>
      <c r="H197" s="5" t="s">
        <v>632</v>
      </c>
      <c r="I197" s="5" t="s">
        <v>633</v>
      </c>
      <c r="J197" s="35" t="s">
        <v>1641</v>
      </c>
      <c r="K197" s="21" t="s">
        <v>1048</v>
      </c>
      <c r="L197" s="24"/>
      <c r="M197" s="5"/>
      <c r="N197" s="5" t="s">
        <v>1087</v>
      </c>
    </row>
    <row r="198" spans="2:14" ht="18" customHeight="1" x14ac:dyDescent="0.2">
      <c r="B198" s="21">
        <v>190</v>
      </c>
      <c r="C198" s="1" t="s">
        <v>1642</v>
      </c>
      <c r="D198" s="5" t="s">
        <v>1643</v>
      </c>
      <c r="E198" s="5" t="s">
        <v>1644</v>
      </c>
      <c r="F198" s="5"/>
      <c r="G198" s="5" t="s">
        <v>501</v>
      </c>
      <c r="H198" s="5" t="s">
        <v>1645</v>
      </c>
      <c r="I198" s="5" t="s">
        <v>1646</v>
      </c>
      <c r="J198" s="35" t="s">
        <v>1647</v>
      </c>
      <c r="K198" s="21" t="s">
        <v>1086</v>
      </c>
      <c r="L198" s="24"/>
      <c r="M198" s="5"/>
      <c r="N198" s="5" t="s">
        <v>1087</v>
      </c>
    </row>
    <row r="199" spans="2:14" ht="18" customHeight="1" x14ac:dyDescent="0.2">
      <c r="B199" s="21">
        <v>191</v>
      </c>
      <c r="C199" s="1" t="s">
        <v>1642</v>
      </c>
      <c r="D199" s="5" t="s">
        <v>1643</v>
      </c>
      <c r="E199" s="5" t="s">
        <v>1648</v>
      </c>
      <c r="F199" s="5"/>
      <c r="G199" s="5" t="s">
        <v>501</v>
      </c>
      <c r="H199" s="5" t="s">
        <v>1649</v>
      </c>
      <c r="I199" s="5" t="s">
        <v>1650</v>
      </c>
      <c r="J199" s="35" t="s">
        <v>1647</v>
      </c>
      <c r="K199" s="21" t="s">
        <v>1048</v>
      </c>
      <c r="L199" s="24"/>
      <c r="M199" s="5"/>
      <c r="N199" s="5" t="s">
        <v>1087</v>
      </c>
    </row>
    <row r="200" spans="2:14" ht="18" customHeight="1" x14ac:dyDescent="0.2">
      <c r="B200" s="21">
        <v>192</v>
      </c>
      <c r="C200" s="1" t="s">
        <v>1642</v>
      </c>
      <c r="D200" s="5" t="s">
        <v>1643</v>
      </c>
      <c r="E200" s="5" t="s">
        <v>1651</v>
      </c>
      <c r="F200" s="5"/>
      <c r="G200" s="5" t="s">
        <v>501</v>
      </c>
      <c r="H200" s="5" t="s">
        <v>1652</v>
      </c>
      <c r="I200" s="5" t="s">
        <v>1653</v>
      </c>
      <c r="J200" s="35" t="s">
        <v>1647</v>
      </c>
      <c r="K200" s="21" t="s">
        <v>1048</v>
      </c>
      <c r="L200" s="24"/>
      <c r="M200" s="5"/>
      <c r="N200" s="5" t="s">
        <v>1087</v>
      </c>
    </row>
    <row r="201" spans="2:14" ht="18" customHeight="1" x14ac:dyDescent="0.2">
      <c r="B201" s="21">
        <v>193</v>
      </c>
      <c r="C201" s="1" t="s">
        <v>1654</v>
      </c>
      <c r="D201" s="5" t="s">
        <v>1643</v>
      </c>
      <c r="E201" s="5" t="s">
        <v>1655</v>
      </c>
      <c r="F201" s="5"/>
      <c r="G201" s="5" t="s">
        <v>501</v>
      </c>
      <c r="H201" s="5" t="s">
        <v>1656</v>
      </c>
      <c r="I201" s="5" t="s">
        <v>1657</v>
      </c>
      <c r="J201" s="35" t="s">
        <v>1658</v>
      </c>
      <c r="K201" s="21" t="s">
        <v>1048</v>
      </c>
      <c r="L201" s="24"/>
      <c r="M201" s="5"/>
      <c r="N201" s="5" t="s">
        <v>1087</v>
      </c>
    </row>
    <row r="202" spans="2:14" ht="30" customHeight="1" x14ac:dyDescent="0.2">
      <c r="B202" s="21">
        <v>194</v>
      </c>
      <c r="C202" s="1" t="s">
        <v>228</v>
      </c>
      <c r="D202" s="5" t="s">
        <v>1643</v>
      </c>
      <c r="E202" s="5" t="s">
        <v>1186</v>
      </c>
      <c r="F202" s="5" t="s">
        <v>406</v>
      </c>
      <c r="G202" s="5" t="s">
        <v>469</v>
      </c>
      <c r="H202" s="5" t="s">
        <v>1659</v>
      </c>
      <c r="I202" s="5" t="s">
        <v>1660</v>
      </c>
      <c r="J202" s="35" t="s">
        <v>1075</v>
      </c>
      <c r="K202" s="21" t="s">
        <v>1048</v>
      </c>
      <c r="L202" s="24"/>
      <c r="M202" s="5" t="s">
        <v>1661</v>
      </c>
      <c r="N202" s="5" t="s">
        <v>1087</v>
      </c>
    </row>
    <row r="203" spans="2:14" ht="18" customHeight="1" x14ac:dyDescent="0.2">
      <c r="B203" s="21">
        <v>195</v>
      </c>
      <c r="C203" s="1" t="s">
        <v>228</v>
      </c>
      <c r="D203" s="5" t="s">
        <v>1643</v>
      </c>
      <c r="E203" s="5" t="s">
        <v>1662</v>
      </c>
      <c r="F203" s="5" t="s">
        <v>1156</v>
      </c>
      <c r="G203" s="5" t="s">
        <v>565</v>
      </c>
      <c r="H203" s="5"/>
      <c r="I203" s="5" t="s">
        <v>1663</v>
      </c>
      <c r="J203" s="35" t="s">
        <v>1075</v>
      </c>
      <c r="K203" s="21" t="s">
        <v>1048</v>
      </c>
      <c r="L203" s="24"/>
      <c r="M203" s="5"/>
      <c r="N203" s="5" t="s">
        <v>1087</v>
      </c>
    </row>
    <row r="204" spans="2:14" ht="18" customHeight="1" x14ac:dyDescent="0.2">
      <c r="B204" s="21">
        <v>196</v>
      </c>
      <c r="C204" s="1" t="s">
        <v>228</v>
      </c>
      <c r="D204" s="5" t="s">
        <v>1643</v>
      </c>
      <c r="E204" s="5" t="s">
        <v>1664</v>
      </c>
      <c r="F204" s="5" t="s">
        <v>1156</v>
      </c>
      <c r="G204" s="5" t="s">
        <v>565</v>
      </c>
      <c r="H204" s="5"/>
      <c r="I204" s="5" t="s">
        <v>1665</v>
      </c>
      <c r="J204" s="35" t="s">
        <v>1075</v>
      </c>
      <c r="K204" s="21" t="s">
        <v>1048</v>
      </c>
      <c r="L204" s="24"/>
      <c r="M204" s="5"/>
      <c r="N204" s="5" t="s">
        <v>1087</v>
      </c>
    </row>
    <row r="205" spans="2:14" ht="18" customHeight="1" x14ac:dyDescent="0.2">
      <c r="B205" s="21">
        <v>197</v>
      </c>
      <c r="C205" s="1" t="s">
        <v>228</v>
      </c>
      <c r="D205" s="5" t="s">
        <v>1643</v>
      </c>
      <c r="E205" s="5" t="s">
        <v>1666</v>
      </c>
      <c r="F205" s="5" t="s">
        <v>1667</v>
      </c>
      <c r="G205" s="5" t="s">
        <v>481</v>
      </c>
      <c r="H205" s="5" t="s">
        <v>1668</v>
      </c>
      <c r="I205" s="5" t="s">
        <v>1669</v>
      </c>
      <c r="J205" s="35" t="s">
        <v>1075</v>
      </c>
      <c r="K205" s="21" t="s">
        <v>1048</v>
      </c>
      <c r="L205" s="24"/>
      <c r="M205" s="5"/>
      <c r="N205" s="5" t="s">
        <v>1087</v>
      </c>
    </row>
    <row r="206" spans="2:14" ht="18" customHeight="1" x14ac:dyDescent="0.2">
      <c r="B206" s="21">
        <v>198</v>
      </c>
      <c r="C206" s="1" t="s">
        <v>60</v>
      </c>
      <c r="D206" s="5" t="s">
        <v>1670</v>
      </c>
      <c r="E206" s="5" t="s">
        <v>467</v>
      </c>
      <c r="F206" s="5" t="s">
        <v>468</v>
      </c>
      <c r="G206" s="5" t="s">
        <v>469</v>
      </c>
      <c r="H206" s="5" t="s">
        <v>470</v>
      </c>
      <c r="I206" s="5" t="s">
        <v>471</v>
      </c>
      <c r="J206" s="35" t="s">
        <v>1053</v>
      </c>
      <c r="K206" s="21" t="s">
        <v>1048</v>
      </c>
      <c r="L206" s="24"/>
      <c r="M206" s="5" t="s">
        <v>472</v>
      </c>
      <c r="N206" s="5" t="s">
        <v>1087</v>
      </c>
    </row>
    <row r="207" spans="2:14" ht="18" customHeight="1" x14ac:dyDescent="0.2">
      <c r="B207" s="21">
        <v>199</v>
      </c>
      <c r="C207" s="1" t="s">
        <v>60</v>
      </c>
      <c r="D207" s="5" t="s">
        <v>1670</v>
      </c>
      <c r="E207" s="5" t="s">
        <v>473</v>
      </c>
      <c r="F207" s="5" t="s">
        <v>474</v>
      </c>
      <c r="G207" s="5" t="s">
        <v>475</v>
      </c>
      <c r="H207" s="5" t="s">
        <v>476</v>
      </c>
      <c r="I207" s="5" t="s">
        <v>477</v>
      </c>
      <c r="J207" s="35" t="s">
        <v>1053</v>
      </c>
      <c r="K207" s="21" t="s">
        <v>1086</v>
      </c>
      <c r="L207" s="24"/>
      <c r="M207" s="5"/>
      <c r="N207" s="5" t="s">
        <v>1087</v>
      </c>
    </row>
    <row r="208" spans="2:14" ht="30" customHeight="1" x14ac:dyDescent="0.2">
      <c r="B208" s="21">
        <v>200</v>
      </c>
      <c r="C208" s="1" t="s">
        <v>60</v>
      </c>
      <c r="D208" s="5" t="s">
        <v>1670</v>
      </c>
      <c r="E208" s="5" t="s">
        <v>479</v>
      </c>
      <c r="F208" s="5" t="s">
        <v>480</v>
      </c>
      <c r="G208" s="5" t="s">
        <v>481</v>
      </c>
      <c r="H208" s="5" t="s">
        <v>482</v>
      </c>
      <c r="I208" s="5" t="s">
        <v>483</v>
      </c>
      <c r="J208" s="35" t="s">
        <v>1053</v>
      </c>
      <c r="K208" s="21" t="s">
        <v>1048</v>
      </c>
      <c r="L208" s="24"/>
      <c r="M208" s="5"/>
      <c r="N208" s="5" t="s">
        <v>1087</v>
      </c>
    </row>
    <row r="209" spans="2:14" ht="18" customHeight="1" x14ac:dyDescent="0.2">
      <c r="B209" s="21">
        <v>201</v>
      </c>
      <c r="C209" s="1" t="s">
        <v>60</v>
      </c>
      <c r="D209" s="5" t="s">
        <v>1670</v>
      </c>
      <c r="E209" s="5" t="s">
        <v>484</v>
      </c>
      <c r="F209" s="5" t="s">
        <v>485</v>
      </c>
      <c r="G209" s="5" t="s">
        <v>481</v>
      </c>
      <c r="H209" s="5" t="s">
        <v>486</v>
      </c>
      <c r="I209" s="5" t="s">
        <v>487</v>
      </c>
      <c r="J209" s="35" t="s">
        <v>1053</v>
      </c>
      <c r="K209" s="21" t="s">
        <v>1086</v>
      </c>
      <c r="L209" s="24"/>
      <c r="M209" s="5"/>
      <c r="N209" s="5" t="s">
        <v>1087</v>
      </c>
    </row>
    <row r="210" spans="2:14" ht="18" customHeight="1" x14ac:dyDescent="0.2">
      <c r="B210" s="21">
        <v>202</v>
      </c>
      <c r="C210" s="1" t="s">
        <v>60</v>
      </c>
      <c r="D210" s="5" t="s">
        <v>1670</v>
      </c>
      <c r="E210" s="5" t="s">
        <v>488</v>
      </c>
      <c r="F210" s="5" t="s">
        <v>489</v>
      </c>
      <c r="G210" s="5" t="s">
        <v>455</v>
      </c>
      <c r="H210" s="5" t="s">
        <v>490</v>
      </c>
      <c r="I210" s="5" t="s">
        <v>491</v>
      </c>
      <c r="J210" s="35" t="s">
        <v>1053</v>
      </c>
      <c r="K210" s="21" t="s">
        <v>1048</v>
      </c>
      <c r="L210" s="24"/>
      <c r="M210" s="5"/>
      <c r="N210" s="5" t="s">
        <v>1087</v>
      </c>
    </row>
    <row r="211" spans="2:14" ht="18" customHeight="1" x14ac:dyDescent="0.2">
      <c r="B211" s="21">
        <v>203</v>
      </c>
      <c r="C211" s="1" t="s">
        <v>60</v>
      </c>
      <c r="D211" s="5" t="s">
        <v>1670</v>
      </c>
      <c r="E211" s="5" t="s">
        <v>492</v>
      </c>
      <c r="F211" s="5" t="s">
        <v>493</v>
      </c>
      <c r="G211" s="5" t="s">
        <v>455</v>
      </c>
      <c r="H211" s="5"/>
      <c r="I211" s="5" t="s">
        <v>494</v>
      </c>
      <c r="J211" s="35" t="s">
        <v>1053</v>
      </c>
      <c r="K211" s="21" t="s">
        <v>1048</v>
      </c>
      <c r="L211" s="24"/>
      <c r="M211" s="5"/>
      <c r="N211" s="5" t="s">
        <v>1087</v>
      </c>
    </row>
    <row r="212" spans="2:14" ht="18" customHeight="1" x14ac:dyDescent="0.2">
      <c r="B212" s="21">
        <v>204</v>
      </c>
      <c r="C212" s="1" t="s">
        <v>60</v>
      </c>
      <c r="D212" s="5" t="s">
        <v>1670</v>
      </c>
      <c r="E212" s="5" t="s">
        <v>495</v>
      </c>
      <c r="F212" s="5" t="s">
        <v>496</v>
      </c>
      <c r="G212" s="5" t="s">
        <v>497</v>
      </c>
      <c r="H212" s="5" t="s">
        <v>498</v>
      </c>
      <c r="I212" s="5" t="s">
        <v>499</v>
      </c>
      <c r="J212" s="35" t="s">
        <v>1053</v>
      </c>
      <c r="K212" s="21" t="s">
        <v>1086</v>
      </c>
      <c r="L212" s="24"/>
      <c r="M212" s="5"/>
      <c r="N212" s="5" t="s">
        <v>1087</v>
      </c>
    </row>
    <row r="213" spans="2:14" ht="18" customHeight="1" x14ac:dyDescent="0.2">
      <c r="B213" s="21">
        <v>205</v>
      </c>
      <c r="C213" s="1" t="s">
        <v>60</v>
      </c>
      <c r="D213" s="5" t="s">
        <v>1670</v>
      </c>
      <c r="E213" s="5" t="s">
        <v>500</v>
      </c>
      <c r="F213" s="5"/>
      <c r="G213" s="5" t="s">
        <v>501</v>
      </c>
      <c r="H213" s="5" t="s">
        <v>502</v>
      </c>
      <c r="I213" s="5" t="s">
        <v>503</v>
      </c>
      <c r="J213" s="35" t="s">
        <v>1053</v>
      </c>
      <c r="K213" s="21" t="s">
        <v>1048</v>
      </c>
      <c r="L213" s="24"/>
      <c r="M213" s="5"/>
      <c r="N213" s="5" t="s">
        <v>1087</v>
      </c>
    </row>
    <row r="214" spans="2:14" ht="18" customHeight="1" x14ac:dyDescent="0.2">
      <c r="B214" s="21">
        <v>206</v>
      </c>
      <c r="C214" s="1" t="s">
        <v>1671</v>
      </c>
      <c r="D214" s="5" t="s">
        <v>1672</v>
      </c>
      <c r="E214" s="5" t="s">
        <v>1673</v>
      </c>
      <c r="F214" s="5" t="s">
        <v>1245</v>
      </c>
      <c r="G214" s="5" t="s">
        <v>565</v>
      </c>
      <c r="H214" s="5" t="s">
        <v>1674</v>
      </c>
      <c r="I214" s="5" t="s">
        <v>1675</v>
      </c>
      <c r="J214" s="35" t="s">
        <v>1676</v>
      </c>
      <c r="K214" s="21" t="s">
        <v>1048</v>
      </c>
      <c r="L214" s="24"/>
      <c r="M214" s="5"/>
      <c r="N214" s="5" t="s">
        <v>1087</v>
      </c>
    </row>
    <row r="215" spans="2:14" ht="18" customHeight="1" x14ac:dyDescent="0.2">
      <c r="B215" s="21">
        <v>207</v>
      </c>
      <c r="C215" s="1" t="s">
        <v>1671</v>
      </c>
      <c r="D215" s="5" t="s">
        <v>1672</v>
      </c>
      <c r="E215" s="5" t="s">
        <v>1677</v>
      </c>
      <c r="F215" s="5" t="s">
        <v>1156</v>
      </c>
      <c r="G215" s="5" t="s">
        <v>565</v>
      </c>
      <c r="H215" s="5" t="s">
        <v>1678</v>
      </c>
      <c r="I215" s="5" t="s">
        <v>1679</v>
      </c>
      <c r="J215" s="35" t="s">
        <v>1676</v>
      </c>
      <c r="K215" s="21" t="s">
        <v>1048</v>
      </c>
      <c r="L215" s="24"/>
      <c r="M215" s="5"/>
      <c r="N215" s="5" t="s">
        <v>1087</v>
      </c>
    </row>
    <row r="216" spans="2:14" ht="18" customHeight="1" x14ac:dyDescent="0.2">
      <c r="B216" s="21">
        <v>208</v>
      </c>
      <c r="C216" s="1" t="s">
        <v>1671</v>
      </c>
      <c r="D216" s="5" t="s">
        <v>1672</v>
      </c>
      <c r="E216" s="5" t="s">
        <v>1680</v>
      </c>
      <c r="F216" s="5" t="s">
        <v>1681</v>
      </c>
      <c r="G216" s="5" t="s">
        <v>455</v>
      </c>
      <c r="H216" s="5" t="s">
        <v>1682</v>
      </c>
      <c r="I216" s="5" t="s">
        <v>1683</v>
      </c>
      <c r="J216" s="35" t="s">
        <v>1676</v>
      </c>
      <c r="K216" s="21" t="s">
        <v>1048</v>
      </c>
      <c r="L216" s="24"/>
      <c r="M216" s="5"/>
      <c r="N216" s="5" t="s">
        <v>1087</v>
      </c>
    </row>
    <row r="217" spans="2:14" ht="18" customHeight="1" x14ac:dyDescent="0.2">
      <c r="B217" s="21">
        <v>209</v>
      </c>
      <c r="C217" s="1" t="s">
        <v>1671</v>
      </c>
      <c r="D217" s="5" t="s">
        <v>1672</v>
      </c>
      <c r="E217" s="5" t="s">
        <v>1684</v>
      </c>
      <c r="F217" s="5" t="s">
        <v>489</v>
      </c>
      <c r="G217" s="5" t="s">
        <v>455</v>
      </c>
      <c r="H217" s="5" t="s">
        <v>1682</v>
      </c>
      <c r="I217" s="5" t="s">
        <v>1685</v>
      </c>
      <c r="J217" s="35" t="s">
        <v>1676</v>
      </c>
      <c r="K217" s="21" t="s">
        <v>1048</v>
      </c>
      <c r="L217" s="24"/>
      <c r="M217" s="5"/>
      <c r="N217" s="5" t="s">
        <v>1087</v>
      </c>
    </row>
    <row r="218" spans="2:14" ht="30" customHeight="1" x14ac:dyDescent="0.2">
      <c r="B218" s="21">
        <v>210</v>
      </c>
      <c r="C218" s="1" t="s">
        <v>1686</v>
      </c>
      <c r="D218" s="5" t="s">
        <v>1672</v>
      </c>
      <c r="E218" s="5" t="s">
        <v>1687</v>
      </c>
      <c r="F218" s="5" t="s">
        <v>1688</v>
      </c>
      <c r="G218" s="5" t="s">
        <v>481</v>
      </c>
      <c r="H218" s="5" t="s">
        <v>1689</v>
      </c>
      <c r="I218" s="5" t="s">
        <v>1690</v>
      </c>
      <c r="J218" s="35" t="s">
        <v>1691</v>
      </c>
      <c r="K218" s="21" t="s">
        <v>1048</v>
      </c>
      <c r="L218" s="24"/>
      <c r="M218" s="5" t="s">
        <v>1692</v>
      </c>
      <c r="N218" s="5" t="s">
        <v>1087</v>
      </c>
    </row>
    <row r="219" spans="2:14" ht="18" customHeight="1" x14ac:dyDescent="0.2">
      <c r="B219" s="21">
        <v>211</v>
      </c>
      <c r="C219" s="1" t="s">
        <v>1693</v>
      </c>
      <c r="D219" s="5" t="s">
        <v>1080</v>
      </c>
      <c r="E219" s="5" t="s">
        <v>1694</v>
      </c>
      <c r="F219" s="5"/>
      <c r="G219" s="5" t="s">
        <v>501</v>
      </c>
      <c r="H219" s="5" t="s">
        <v>1695</v>
      </c>
      <c r="I219" s="5" t="s">
        <v>1696</v>
      </c>
      <c r="J219" s="5"/>
      <c r="K219" s="21"/>
      <c r="L219" s="24"/>
      <c r="M219" s="5"/>
      <c r="N219" s="5" t="s">
        <v>1087</v>
      </c>
    </row>
    <row r="220" spans="2:14" ht="18" customHeight="1" x14ac:dyDescent="0.2">
      <c r="B220" s="21">
        <v>212</v>
      </c>
      <c r="C220" s="1" t="s">
        <v>1697</v>
      </c>
      <c r="D220" s="5" t="s">
        <v>1080</v>
      </c>
      <c r="E220" s="5" t="s">
        <v>1698</v>
      </c>
      <c r="F220" s="5"/>
      <c r="G220" s="5" t="s">
        <v>501</v>
      </c>
      <c r="H220" s="5" t="s">
        <v>1699</v>
      </c>
      <c r="I220" s="5" t="s">
        <v>1700</v>
      </c>
      <c r="J220" s="5"/>
      <c r="K220" s="21"/>
      <c r="L220" s="24"/>
      <c r="M220" s="5"/>
      <c r="N220" s="5" t="s">
        <v>1087</v>
      </c>
    </row>
    <row r="221" spans="2:14" ht="18" customHeight="1" x14ac:dyDescent="0.2">
      <c r="B221" s="21">
        <v>213</v>
      </c>
      <c r="C221" s="1" t="s">
        <v>1701</v>
      </c>
      <c r="D221" s="5" t="s">
        <v>1080</v>
      </c>
      <c r="E221" s="5" t="s">
        <v>1702</v>
      </c>
      <c r="F221" s="5"/>
      <c r="G221" s="5" t="s">
        <v>501</v>
      </c>
      <c r="H221" s="5" t="s">
        <v>1703</v>
      </c>
      <c r="I221" s="5" t="s">
        <v>1704</v>
      </c>
      <c r="J221" s="5"/>
      <c r="K221" s="21"/>
      <c r="L221" s="24"/>
      <c r="M221" s="5"/>
      <c r="N221" s="5" t="s">
        <v>1087</v>
      </c>
    </row>
    <row r="222" spans="2:14" ht="18" customHeight="1" x14ac:dyDescent="0.2">
      <c r="B222" s="21">
        <v>214</v>
      </c>
      <c r="C222" s="1" t="s">
        <v>1705</v>
      </c>
      <c r="D222" s="5" t="s">
        <v>1080</v>
      </c>
      <c r="E222" s="5" t="s">
        <v>1706</v>
      </c>
      <c r="F222" s="5"/>
      <c r="G222" s="5" t="s">
        <v>501</v>
      </c>
      <c r="H222" s="5" t="s">
        <v>1707</v>
      </c>
      <c r="I222" s="5" t="s">
        <v>1708</v>
      </c>
      <c r="J222" s="5"/>
      <c r="K222" s="21" t="s">
        <v>1086</v>
      </c>
      <c r="L222" s="24"/>
      <c r="M222" s="5"/>
      <c r="N222" s="5" t="s">
        <v>1087</v>
      </c>
    </row>
    <row r="223" spans="2:14" ht="18" customHeight="1" x14ac:dyDescent="0.2">
      <c r="B223" s="21">
        <v>215</v>
      </c>
      <c r="C223" s="1" t="s">
        <v>1709</v>
      </c>
      <c r="D223" s="5" t="s">
        <v>1080</v>
      </c>
      <c r="E223" s="5" t="s">
        <v>1710</v>
      </c>
      <c r="F223" s="5" t="s">
        <v>406</v>
      </c>
      <c r="G223" s="5" t="s">
        <v>469</v>
      </c>
      <c r="H223" s="5" t="s">
        <v>1711</v>
      </c>
      <c r="I223" s="5" t="s">
        <v>1712</v>
      </c>
      <c r="J223" s="5"/>
      <c r="K223" s="21"/>
      <c r="L223" s="24"/>
      <c r="M223" s="5"/>
      <c r="N223" s="5" t="s">
        <v>1087</v>
      </c>
    </row>
    <row r="224" spans="2:14" ht="18" customHeight="1" x14ac:dyDescent="0.2">
      <c r="B224" s="21">
        <v>216</v>
      </c>
      <c r="C224" s="1" t="s">
        <v>1709</v>
      </c>
      <c r="D224" s="5" t="s">
        <v>1080</v>
      </c>
      <c r="E224" s="5" t="s">
        <v>1713</v>
      </c>
      <c r="F224" s="5" t="s">
        <v>1245</v>
      </c>
      <c r="G224" s="5" t="s">
        <v>565</v>
      </c>
      <c r="H224" s="5" t="s">
        <v>1714</v>
      </c>
      <c r="I224" s="5" t="s">
        <v>1715</v>
      </c>
      <c r="J224" s="5"/>
      <c r="K224" s="21"/>
      <c r="L224" s="24"/>
      <c r="M224" s="5"/>
      <c r="N224" s="5" t="s">
        <v>1087</v>
      </c>
    </row>
    <row r="225" spans="2:14" ht="18" customHeight="1" x14ac:dyDescent="0.2">
      <c r="B225" s="21">
        <v>217</v>
      </c>
      <c r="C225" s="1" t="s">
        <v>1716</v>
      </c>
      <c r="D225" s="5" t="s">
        <v>1080</v>
      </c>
      <c r="E225" s="5" t="s">
        <v>1717</v>
      </c>
      <c r="F225" s="5"/>
      <c r="G225" s="5" t="s">
        <v>501</v>
      </c>
      <c r="H225" s="5" t="s">
        <v>1718</v>
      </c>
      <c r="I225" s="5" t="s">
        <v>1719</v>
      </c>
      <c r="J225" s="5"/>
      <c r="K225" s="21" t="s">
        <v>1086</v>
      </c>
      <c r="L225" s="24"/>
      <c r="M225" s="5"/>
      <c r="N225" s="5" t="s">
        <v>1087</v>
      </c>
    </row>
    <row r="226" spans="2:14" ht="18" customHeight="1" x14ac:dyDescent="0.2">
      <c r="B226" s="21">
        <v>218</v>
      </c>
      <c r="C226" s="1" t="s">
        <v>1720</v>
      </c>
      <c r="D226" s="5" t="s">
        <v>1080</v>
      </c>
      <c r="E226" s="5" t="s">
        <v>1721</v>
      </c>
      <c r="F226" s="5" t="s">
        <v>1422</v>
      </c>
      <c r="G226" s="5" t="s">
        <v>565</v>
      </c>
      <c r="H226" s="5" t="s">
        <v>1722</v>
      </c>
      <c r="I226" s="5" t="s">
        <v>1723</v>
      </c>
      <c r="J226" s="5"/>
      <c r="K226" s="21" t="s">
        <v>1086</v>
      </c>
      <c r="L226" s="24"/>
      <c r="M226" s="5"/>
      <c r="N226" s="5" t="s">
        <v>1087</v>
      </c>
    </row>
    <row r="227" spans="2:14" ht="18" customHeight="1" x14ac:dyDescent="0.2">
      <c r="B227" s="21">
        <v>219</v>
      </c>
      <c r="C227" s="1" t="s">
        <v>1720</v>
      </c>
      <c r="D227" s="5" t="s">
        <v>1080</v>
      </c>
      <c r="E227" s="5" t="s">
        <v>1724</v>
      </c>
      <c r="F227" s="5" t="s">
        <v>1179</v>
      </c>
      <c r="G227" s="5" t="s">
        <v>455</v>
      </c>
      <c r="H227" s="5" t="s">
        <v>1725</v>
      </c>
      <c r="I227" s="5" t="s">
        <v>1726</v>
      </c>
      <c r="J227" s="5"/>
      <c r="K227" s="21"/>
      <c r="L227" s="24"/>
      <c r="M227" s="5"/>
      <c r="N227" s="5" t="s">
        <v>1087</v>
      </c>
    </row>
    <row r="228" spans="2:14" ht="18" customHeight="1" x14ac:dyDescent="0.2">
      <c r="B228" s="21">
        <v>220</v>
      </c>
      <c r="C228" s="1" t="s">
        <v>1727</v>
      </c>
      <c r="D228" s="5" t="s">
        <v>1080</v>
      </c>
      <c r="E228" s="5" t="s">
        <v>1728</v>
      </c>
      <c r="F228" s="5" t="s">
        <v>1729</v>
      </c>
      <c r="G228" s="5" t="s">
        <v>565</v>
      </c>
      <c r="H228" s="5" t="s">
        <v>1730</v>
      </c>
      <c r="I228" s="5" t="s">
        <v>1731</v>
      </c>
      <c r="J228" s="5"/>
      <c r="K228" s="21" t="s">
        <v>1086</v>
      </c>
      <c r="L228" s="24"/>
      <c r="M228" s="5"/>
      <c r="N228" s="5" t="s">
        <v>1087</v>
      </c>
    </row>
    <row r="229" spans="2:14" ht="18" customHeight="1" x14ac:dyDescent="0.2">
      <c r="B229" s="21">
        <v>221</v>
      </c>
      <c r="C229" s="1" t="s">
        <v>1727</v>
      </c>
      <c r="D229" s="5" t="s">
        <v>1080</v>
      </c>
      <c r="E229" s="5" t="s">
        <v>1732</v>
      </c>
      <c r="F229" s="5" t="s">
        <v>1733</v>
      </c>
      <c r="G229" s="5" t="s">
        <v>565</v>
      </c>
      <c r="H229" s="5" t="s">
        <v>1734</v>
      </c>
      <c r="I229" s="5" t="s">
        <v>1735</v>
      </c>
      <c r="J229" s="5"/>
      <c r="K229" s="21" t="s">
        <v>1086</v>
      </c>
      <c r="L229" s="24"/>
      <c r="M229" s="5"/>
      <c r="N229" s="5" t="s">
        <v>1087</v>
      </c>
    </row>
    <row r="230" spans="2:14" ht="18" customHeight="1" x14ac:dyDescent="0.2">
      <c r="B230" s="21">
        <v>222</v>
      </c>
      <c r="C230" s="1" t="s">
        <v>1727</v>
      </c>
      <c r="D230" s="5" t="s">
        <v>1080</v>
      </c>
      <c r="E230" s="5" t="s">
        <v>1736</v>
      </c>
      <c r="F230" s="5" t="s">
        <v>1737</v>
      </c>
      <c r="G230" s="5" t="s">
        <v>455</v>
      </c>
      <c r="H230" s="5" t="s">
        <v>1738</v>
      </c>
      <c r="I230" s="5" t="s">
        <v>1739</v>
      </c>
      <c r="J230" s="5"/>
      <c r="K230" s="21" t="s">
        <v>1086</v>
      </c>
      <c r="L230" s="24"/>
      <c r="M230" s="5"/>
      <c r="N230" s="5" t="s">
        <v>1087</v>
      </c>
    </row>
    <row r="231" spans="2:14" ht="18" customHeight="1" x14ac:dyDescent="0.2">
      <c r="B231" s="21">
        <v>223</v>
      </c>
      <c r="C231" s="1" t="s">
        <v>1740</v>
      </c>
      <c r="D231" s="5" t="s">
        <v>1534</v>
      </c>
      <c r="E231" s="5" t="s">
        <v>1741</v>
      </c>
      <c r="F231" s="5"/>
      <c r="G231" s="5" t="s">
        <v>501</v>
      </c>
      <c r="H231" s="5" t="s">
        <v>1742</v>
      </c>
      <c r="I231" s="5" t="s">
        <v>1743</v>
      </c>
      <c r="J231" s="5"/>
      <c r="K231" s="21" t="s">
        <v>1086</v>
      </c>
      <c r="L231" s="24"/>
      <c r="M231" s="5"/>
      <c r="N231" s="5" t="s">
        <v>1087</v>
      </c>
    </row>
    <row r="232" spans="2:14" ht="18" customHeight="1" x14ac:dyDescent="0.2">
      <c r="B232" s="21">
        <v>224</v>
      </c>
      <c r="C232" s="1" t="s">
        <v>1744</v>
      </c>
      <c r="D232" s="5" t="s">
        <v>1534</v>
      </c>
      <c r="E232" s="5" t="s">
        <v>1745</v>
      </c>
      <c r="F232" s="5" t="s">
        <v>1131</v>
      </c>
      <c r="G232" s="5" t="s">
        <v>565</v>
      </c>
      <c r="H232" s="5" t="s">
        <v>1746</v>
      </c>
      <c r="I232" s="5" t="s">
        <v>1747</v>
      </c>
      <c r="J232" s="5"/>
      <c r="K232" s="21"/>
      <c r="L232" s="24"/>
      <c r="M232" s="5"/>
      <c r="N232" s="5" t="s">
        <v>1087</v>
      </c>
    </row>
    <row r="233" spans="2:14" ht="18" customHeight="1" x14ac:dyDescent="0.2">
      <c r="B233" s="21">
        <v>225</v>
      </c>
      <c r="C233" s="1" t="s">
        <v>1744</v>
      </c>
      <c r="D233" s="5" t="s">
        <v>1534</v>
      </c>
      <c r="E233" s="5" t="s">
        <v>1748</v>
      </c>
      <c r="F233" s="5"/>
      <c r="G233" s="5" t="s">
        <v>501</v>
      </c>
      <c r="H233" s="5" t="s">
        <v>1749</v>
      </c>
      <c r="I233" s="5" t="s">
        <v>1750</v>
      </c>
      <c r="J233" s="5"/>
      <c r="K233" s="21"/>
      <c r="L233" s="24"/>
      <c r="M233" s="5"/>
      <c r="N233" s="5" t="s">
        <v>1087</v>
      </c>
    </row>
    <row r="234" spans="2:14" ht="18" customHeight="1" x14ac:dyDescent="0.2">
      <c r="B234" s="21">
        <v>226</v>
      </c>
      <c r="C234" s="1" t="s">
        <v>1744</v>
      </c>
      <c r="D234" s="5" t="s">
        <v>1534</v>
      </c>
      <c r="E234" s="5" t="s">
        <v>1751</v>
      </c>
      <c r="F234" s="5"/>
      <c r="G234" s="5" t="s">
        <v>501</v>
      </c>
      <c r="H234" s="5"/>
      <c r="I234" s="5" t="s">
        <v>1752</v>
      </c>
      <c r="J234" s="5"/>
      <c r="K234" s="21"/>
      <c r="L234" s="24"/>
      <c r="M234" s="5"/>
      <c r="N234" s="5" t="s">
        <v>1087</v>
      </c>
    </row>
    <row r="235" spans="2:14" ht="18" customHeight="1" x14ac:dyDescent="0.2">
      <c r="B235" s="21">
        <v>227</v>
      </c>
      <c r="C235" s="1" t="s">
        <v>1744</v>
      </c>
      <c r="D235" s="5" t="s">
        <v>1534</v>
      </c>
      <c r="E235" s="5" t="s">
        <v>1721</v>
      </c>
      <c r="F235" s="5"/>
      <c r="G235" s="5" t="s">
        <v>501</v>
      </c>
      <c r="H235" s="5"/>
      <c r="I235" s="5" t="s">
        <v>1753</v>
      </c>
      <c r="J235" s="5"/>
      <c r="K235" s="21"/>
      <c r="L235" s="24"/>
      <c r="M235" s="5"/>
      <c r="N235" s="5" t="s">
        <v>1087</v>
      </c>
    </row>
    <row r="236" spans="2:14" ht="18" customHeight="1" x14ac:dyDescent="0.2">
      <c r="B236" s="21">
        <v>228</v>
      </c>
      <c r="C236" s="1" t="s">
        <v>1754</v>
      </c>
      <c r="D236" s="5" t="s">
        <v>1534</v>
      </c>
      <c r="E236" s="5" t="s">
        <v>1755</v>
      </c>
      <c r="F236" s="5"/>
      <c r="G236" s="5" t="s">
        <v>501</v>
      </c>
      <c r="H236" s="5" t="s">
        <v>1756</v>
      </c>
      <c r="I236" s="5" t="s">
        <v>1757</v>
      </c>
      <c r="J236" s="5"/>
      <c r="K236" s="21"/>
      <c r="L236" s="24"/>
      <c r="M236" s="5"/>
      <c r="N236" s="5" t="s">
        <v>1087</v>
      </c>
    </row>
    <row r="237" spans="2:14" ht="18" customHeight="1" x14ac:dyDescent="0.2">
      <c r="B237" s="21">
        <v>229</v>
      </c>
      <c r="C237" s="1" t="s">
        <v>1758</v>
      </c>
      <c r="D237" s="5" t="s">
        <v>1534</v>
      </c>
      <c r="E237" s="5" t="s">
        <v>1759</v>
      </c>
      <c r="F237" s="5" t="s">
        <v>1131</v>
      </c>
      <c r="G237" s="5" t="s">
        <v>565</v>
      </c>
      <c r="H237" s="5" t="s">
        <v>1760</v>
      </c>
      <c r="I237" s="5" t="s">
        <v>1761</v>
      </c>
      <c r="J237" s="5"/>
      <c r="K237" s="21" t="s">
        <v>1086</v>
      </c>
      <c r="L237" s="24"/>
      <c r="M237" s="5"/>
      <c r="N237" s="5" t="s">
        <v>1087</v>
      </c>
    </row>
    <row r="238" spans="2:14" ht="18" customHeight="1" x14ac:dyDescent="0.2">
      <c r="B238" s="21">
        <v>230</v>
      </c>
      <c r="C238" s="1" t="s">
        <v>1762</v>
      </c>
      <c r="D238" s="5" t="s">
        <v>1534</v>
      </c>
      <c r="E238" s="5" t="s">
        <v>1763</v>
      </c>
      <c r="F238" s="5"/>
      <c r="G238" s="5" t="s">
        <v>501</v>
      </c>
      <c r="H238" s="5" t="s">
        <v>1764</v>
      </c>
      <c r="I238" s="5" t="s">
        <v>1765</v>
      </c>
      <c r="J238" s="5"/>
      <c r="K238" s="21"/>
      <c r="L238" s="24"/>
      <c r="M238" s="5"/>
      <c r="N238" s="5" t="s">
        <v>1087</v>
      </c>
    </row>
    <row r="239" spans="2:14" ht="18" customHeight="1" x14ac:dyDescent="0.2">
      <c r="B239" s="21">
        <v>231</v>
      </c>
      <c r="C239" s="1" t="s">
        <v>1766</v>
      </c>
      <c r="D239" s="5" t="s">
        <v>1534</v>
      </c>
      <c r="E239" s="5" t="s">
        <v>1767</v>
      </c>
      <c r="F239" s="5" t="s">
        <v>1768</v>
      </c>
      <c r="G239" s="5" t="s">
        <v>565</v>
      </c>
      <c r="H239" s="5" t="s">
        <v>1769</v>
      </c>
      <c r="I239" s="5" t="s">
        <v>1770</v>
      </c>
      <c r="J239" s="5"/>
      <c r="K239" s="21"/>
      <c r="L239" s="24"/>
      <c r="M239" s="5"/>
      <c r="N239" s="5" t="s">
        <v>1087</v>
      </c>
    </row>
    <row r="240" spans="2:14" ht="18" customHeight="1" x14ac:dyDescent="0.2">
      <c r="B240" s="21">
        <v>232</v>
      </c>
      <c r="C240" s="1" t="s">
        <v>1771</v>
      </c>
      <c r="D240" s="5" t="s">
        <v>1534</v>
      </c>
      <c r="E240" s="5" t="s">
        <v>1772</v>
      </c>
      <c r="F240" s="5"/>
      <c r="G240" s="5" t="s">
        <v>501</v>
      </c>
      <c r="H240" s="5" t="s">
        <v>1773</v>
      </c>
      <c r="I240" s="5" t="s">
        <v>1774</v>
      </c>
      <c r="J240" s="5"/>
      <c r="K240" s="21" t="s">
        <v>1086</v>
      </c>
      <c r="L240" s="24"/>
      <c r="M240" s="5"/>
      <c r="N240" s="5" t="s">
        <v>1087</v>
      </c>
    </row>
    <row r="241" spans="2:14" ht="18" customHeight="1" x14ac:dyDescent="0.2">
      <c r="B241" s="21">
        <v>233</v>
      </c>
      <c r="C241" s="1" t="s">
        <v>1775</v>
      </c>
      <c r="D241" s="5" t="s">
        <v>1534</v>
      </c>
      <c r="E241" s="5" t="s">
        <v>1776</v>
      </c>
      <c r="F241" s="5"/>
      <c r="G241" s="5" t="s">
        <v>501</v>
      </c>
      <c r="H241" s="5" t="s">
        <v>1777</v>
      </c>
      <c r="I241" s="5" t="s">
        <v>1778</v>
      </c>
      <c r="J241" s="5"/>
      <c r="K241" s="21"/>
      <c r="L241" s="24"/>
      <c r="M241" s="5"/>
      <c r="N241" s="5" t="s">
        <v>1087</v>
      </c>
    </row>
    <row r="242" spans="2:14" ht="18" customHeight="1" x14ac:dyDescent="0.2">
      <c r="B242" s="21">
        <v>234</v>
      </c>
      <c r="C242" s="1" t="s">
        <v>1779</v>
      </c>
      <c r="D242" s="5" t="s">
        <v>1534</v>
      </c>
      <c r="E242" s="5" t="s">
        <v>1780</v>
      </c>
      <c r="F242" s="5"/>
      <c r="G242" s="5" t="s">
        <v>501</v>
      </c>
      <c r="H242" s="5" t="s">
        <v>1781</v>
      </c>
      <c r="I242" s="5" t="s">
        <v>1782</v>
      </c>
      <c r="J242" s="5"/>
      <c r="K242" s="21"/>
      <c r="L242" s="24"/>
      <c r="M242" s="5"/>
      <c r="N242" s="5" t="s">
        <v>1087</v>
      </c>
    </row>
    <row r="243" spans="2:14" ht="18" customHeight="1" x14ac:dyDescent="0.2">
      <c r="B243" s="21">
        <v>235</v>
      </c>
      <c r="C243" s="1" t="s">
        <v>1783</v>
      </c>
      <c r="D243" s="5" t="s">
        <v>1534</v>
      </c>
      <c r="E243" s="5" t="s">
        <v>1784</v>
      </c>
      <c r="F243" s="5"/>
      <c r="G243" s="5" t="s">
        <v>501</v>
      </c>
      <c r="H243" s="5" t="s">
        <v>1785</v>
      </c>
      <c r="I243" s="5" t="s">
        <v>1786</v>
      </c>
      <c r="J243" s="5"/>
      <c r="K243" s="21"/>
      <c r="L243" s="24"/>
      <c r="M243" s="5"/>
      <c r="N243" s="5" t="s">
        <v>1087</v>
      </c>
    </row>
    <row r="244" spans="2:14" ht="18" customHeight="1" x14ac:dyDescent="0.2">
      <c r="B244" s="21">
        <v>236</v>
      </c>
      <c r="C244" s="1" t="s">
        <v>1787</v>
      </c>
      <c r="D244" s="5" t="s">
        <v>1534</v>
      </c>
      <c r="E244" s="5" t="s">
        <v>1788</v>
      </c>
      <c r="F244" s="5" t="s">
        <v>406</v>
      </c>
      <c r="G244" s="5" t="s">
        <v>469</v>
      </c>
      <c r="H244" s="5" t="s">
        <v>1789</v>
      </c>
      <c r="I244" s="5" t="s">
        <v>1790</v>
      </c>
      <c r="J244" s="5"/>
      <c r="K244" s="21"/>
      <c r="L244" s="24"/>
      <c r="M244" s="5"/>
      <c r="N244" s="5" t="s">
        <v>1087</v>
      </c>
    </row>
    <row r="245" spans="2:14" ht="30" customHeight="1" x14ac:dyDescent="0.2">
      <c r="B245" s="21">
        <v>237</v>
      </c>
      <c r="C245" s="1" t="s">
        <v>1787</v>
      </c>
      <c r="D245" s="5" t="s">
        <v>1534</v>
      </c>
      <c r="E245" s="5" t="s">
        <v>1791</v>
      </c>
      <c r="F245" s="5" t="s">
        <v>1792</v>
      </c>
      <c r="G245" s="5" t="s">
        <v>497</v>
      </c>
      <c r="H245" s="5" t="s">
        <v>1793</v>
      </c>
      <c r="I245" s="5" t="s">
        <v>1794</v>
      </c>
      <c r="J245" s="5"/>
      <c r="K245" s="21"/>
      <c r="L245" s="24"/>
      <c r="M245" s="5"/>
      <c r="N245" s="5" t="s">
        <v>1087</v>
      </c>
    </row>
    <row r="246" spans="2:14" ht="18" customHeight="1" x14ac:dyDescent="0.2">
      <c r="B246" s="21">
        <v>238</v>
      </c>
      <c r="C246" s="1" t="s">
        <v>1795</v>
      </c>
      <c r="D246" s="5" t="s">
        <v>1534</v>
      </c>
      <c r="E246" s="5" t="s">
        <v>1796</v>
      </c>
      <c r="F246" s="5" t="s">
        <v>406</v>
      </c>
      <c r="G246" s="5" t="s">
        <v>469</v>
      </c>
      <c r="H246" s="5" t="s">
        <v>1797</v>
      </c>
      <c r="I246" s="5" t="s">
        <v>1798</v>
      </c>
      <c r="J246" s="5"/>
      <c r="K246" s="21"/>
      <c r="L246" s="24"/>
      <c r="M246" s="5"/>
      <c r="N246" s="5" t="s">
        <v>1087</v>
      </c>
    </row>
    <row r="247" spans="2:14" ht="18" customHeight="1" x14ac:dyDescent="0.2">
      <c r="B247" s="21">
        <v>239</v>
      </c>
      <c r="C247" s="1" t="s">
        <v>1795</v>
      </c>
      <c r="D247" s="5" t="s">
        <v>1534</v>
      </c>
      <c r="E247" s="5" t="s">
        <v>1799</v>
      </c>
      <c r="F247" s="5" t="s">
        <v>1800</v>
      </c>
      <c r="G247" s="5" t="s">
        <v>481</v>
      </c>
      <c r="H247" s="5" t="s">
        <v>1801</v>
      </c>
      <c r="I247" s="5" t="s">
        <v>1802</v>
      </c>
      <c r="J247" s="5"/>
      <c r="K247" s="21"/>
      <c r="L247" s="24"/>
      <c r="M247" s="5"/>
      <c r="N247" s="5" t="s">
        <v>1087</v>
      </c>
    </row>
    <row r="248" spans="2:14" ht="18" customHeight="1" x14ac:dyDescent="0.2">
      <c r="B248" s="21">
        <v>240</v>
      </c>
      <c r="C248" s="1" t="s">
        <v>1803</v>
      </c>
      <c r="D248" s="5" t="s">
        <v>1534</v>
      </c>
      <c r="E248" s="5" t="s">
        <v>1804</v>
      </c>
      <c r="F248" s="5" t="s">
        <v>406</v>
      </c>
      <c r="G248" s="5" t="s">
        <v>469</v>
      </c>
      <c r="H248" s="5" t="s">
        <v>1805</v>
      </c>
      <c r="I248" s="5" t="s">
        <v>1806</v>
      </c>
      <c r="J248" s="5"/>
      <c r="K248" s="21"/>
      <c r="L248" s="24"/>
      <c r="M248" s="5"/>
      <c r="N248" s="5" t="s">
        <v>1087</v>
      </c>
    </row>
    <row r="249" spans="2:14" ht="18" customHeight="1" x14ac:dyDescent="0.2">
      <c r="B249" s="21">
        <v>241</v>
      </c>
      <c r="C249" s="1" t="s">
        <v>1803</v>
      </c>
      <c r="D249" s="5" t="s">
        <v>1534</v>
      </c>
      <c r="E249" s="5" t="s">
        <v>1807</v>
      </c>
      <c r="F249" s="5" t="s">
        <v>1179</v>
      </c>
      <c r="G249" s="5" t="s">
        <v>455</v>
      </c>
      <c r="H249" s="5" t="s">
        <v>1808</v>
      </c>
      <c r="I249" s="5"/>
      <c r="J249" s="5"/>
      <c r="K249" s="21"/>
      <c r="L249" s="24"/>
      <c r="M249" s="5"/>
      <c r="N249" s="5" t="s">
        <v>1087</v>
      </c>
    </row>
    <row r="250" spans="2:14" ht="18" customHeight="1" x14ac:dyDescent="0.2">
      <c r="B250" s="21">
        <v>242</v>
      </c>
      <c r="C250" s="1" t="s">
        <v>1809</v>
      </c>
      <c r="D250" s="5" t="s">
        <v>1534</v>
      </c>
      <c r="E250" s="5" t="s">
        <v>1810</v>
      </c>
      <c r="F250" s="5" t="s">
        <v>1811</v>
      </c>
      <c r="G250" s="5" t="s">
        <v>469</v>
      </c>
      <c r="H250" s="5" t="s">
        <v>1812</v>
      </c>
      <c r="I250" s="5" t="s">
        <v>1813</v>
      </c>
      <c r="J250" s="5"/>
      <c r="K250" s="21"/>
      <c r="L250" s="24"/>
      <c r="M250" s="5"/>
      <c r="N250" s="5" t="s">
        <v>1087</v>
      </c>
    </row>
    <row r="251" spans="2:14" ht="18" customHeight="1" x14ac:dyDescent="0.2">
      <c r="B251" s="21">
        <v>243</v>
      </c>
      <c r="C251" s="1" t="s">
        <v>1809</v>
      </c>
      <c r="D251" s="5" t="s">
        <v>1534</v>
      </c>
      <c r="E251" s="5" t="s">
        <v>1814</v>
      </c>
      <c r="F251" s="5" t="s">
        <v>1815</v>
      </c>
      <c r="G251" s="5" t="s">
        <v>1046</v>
      </c>
      <c r="H251" s="5" t="s">
        <v>1816</v>
      </c>
      <c r="I251" s="5" t="s">
        <v>1817</v>
      </c>
      <c r="J251" s="5"/>
      <c r="K251" s="21"/>
      <c r="L251" s="24"/>
      <c r="M251" s="5"/>
      <c r="N251" s="5" t="s">
        <v>1087</v>
      </c>
    </row>
    <row r="252" spans="2:14" ht="18" customHeight="1" x14ac:dyDescent="0.2">
      <c r="B252" s="21">
        <v>244</v>
      </c>
      <c r="C252" s="1" t="s">
        <v>1809</v>
      </c>
      <c r="D252" s="5" t="s">
        <v>1534</v>
      </c>
      <c r="E252" s="5" t="s">
        <v>1818</v>
      </c>
      <c r="F252" s="5"/>
      <c r="G252" s="5" t="s">
        <v>501</v>
      </c>
      <c r="H252" s="5" t="s">
        <v>1819</v>
      </c>
      <c r="I252" s="5" t="s">
        <v>1820</v>
      </c>
      <c r="J252" s="5"/>
      <c r="K252" s="21"/>
      <c r="L252" s="24"/>
      <c r="M252" s="5"/>
      <c r="N252" s="5" t="s">
        <v>1087</v>
      </c>
    </row>
    <row r="253" spans="2:14" ht="18" customHeight="1" x14ac:dyDescent="0.2">
      <c r="B253" s="21">
        <v>245</v>
      </c>
      <c r="C253" s="1" t="s">
        <v>1809</v>
      </c>
      <c r="D253" s="5" t="s">
        <v>1534</v>
      </c>
      <c r="E253" s="5" t="s">
        <v>1821</v>
      </c>
      <c r="F253" s="5"/>
      <c r="G253" s="5" t="s">
        <v>501</v>
      </c>
      <c r="H253" s="5" t="s">
        <v>1822</v>
      </c>
      <c r="I253" s="5" t="s">
        <v>1823</v>
      </c>
      <c r="J253" s="5"/>
      <c r="K253" s="21"/>
      <c r="L253" s="24"/>
      <c r="M253" s="5"/>
      <c r="N253" s="5" t="s">
        <v>1087</v>
      </c>
    </row>
    <row r="254" spans="2:14" ht="18" customHeight="1" x14ac:dyDescent="0.2">
      <c r="B254" s="21">
        <v>246</v>
      </c>
      <c r="C254" s="1" t="s">
        <v>1809</v>
      </c>
      <c r="D254" s="5" t="s">
        <v>1534</v>
      </c>
      <c r="E254" s="5" t="s">
        <v>1824</v>
      </c>
      <c r="F254" s="5"/>
      <c r="G254" s="5" t="s">
        <v>501</v>
      </c>
      <c r="H254" s="5" t="s">
        <v>1825</v>
      </c>
      <c r="I254" s="5" t="s">
        <v>1826</v>
      </c>
      <c r="J254" s="5"/>
      <c r="K254" s="21"/>
      <c r="L254" s="24"/>
      <c r="M254" s="5"/>
      <c r="N254" s="5" t="s">
        <v>1087</v>
      </c>
    </row>
    <row r="255" spans="2:14" ht="18" customHeight="1" x14ac:dyDescent="0.2">
      <c r="B255" s="21">
        <v>247</v>
      </c>
      <c r="C255" s="1" t="s">
        <v>1809</v>
      </c>
      <c r="D255" s="5" t="s">
        <v>1534</v>
      </c>
      <c r="E255" s="5" t="s">
        <v>1827</v>
      </c>
      <c r="F255" s="5"/>
      <c r="G255" s="5" t="s">
        <v>501</v>
      </c>
      <c r="H255" s="5" t="s">
        <v>1828</v>
      </c>
      <c r="I255" s="5" t="s">
        <v>1829</v>
      </c>
      <c r="J255" s="5"/>
      <c r="K255" s="21"/>
      <c r="L255" s="24"/>
      <c r="M255" s="5"/>
      <c r="N255" s="5" t="s">
        <v>1087</v>
      </c>
    </row>
    <row r="256" spans="2:14" ht="30" customHeight="1" x14ac:dyDescent="0.2">
      <c r="B256" s="21">
        <v>248</v>
      </c>
      <c r="C256" s="1" t="s">
        <v>1830</v>
      </c>
      <c r="D256" s="5" t="s">
        <v>1534</v>
      </c>
      <c r="E256" s="5" t="s">
        <v>1831</v>
      </c>
      <c r="F256" s="5"/>
      <c r="G256" s="5" t="s">
        <v>501</v>
      </c>
      <c r="H256" s="5" t="s">
        <v>1832</v>
      </c>
      <c r="I256" s="5" t="s">
        <v>1833</v>
      </c>
      <c r="J256" s="5"/>
      <c r="K256" s="21" t="s">
        <v>1086</v>
      </c>
      <c r="L256" s="24"/>
      <c r="M256" s="5"/>
      <c r="N256" s="5" t="s">
        <v>1087</v>
      </c>
    </row>
    <row r="257" spans="2:14" ht="18" customHeight="1" x14ac:dyDescent="0.2">
      <c r="B257" s="21">
        <v>249</v>
      </c>
      <c r="C257" s="1" t="s">
        <v>1834</v>
      </c>
      <c r="D257" s="5" t="s">
        <v>1534</v>
      </c>
      <c r="E257" s="5" t="s">
        <v>1835</v>
      </c>
      <c r="F257" s="5"/>
      <c r="G257" s="5" t="s">
        <v>501</v>
      </c>
      <c r="H257" s="5" t="s">
        <v>1836</v>
      </c>
      <c r="I257" s="5" t="s">
        <v>1837</v>
      </c>
      <c r="J257" s="5"/>
      <c r="K257" s="21" t="s">
        <v>1086</v>
      </c>
      <c r="L257" s="24"/>
      <c r="M257" s="5"/>
      <c r="N257" s="5" t="s">
        <v>1087</v>
      </c>
    </row>
    <row r="258" spans="2:14" ht="18" customHeight="1" x14ac:dyDescent="0.2">
      <c r="B258" s="21">
        <v>250</v>
      </c>
      <c r="C258" s="1" t="s">
        <v>1838</v>
      </c>
      <c r="D258" s="5" t="s">
        <v>1534</v>
      </c>
      <c r="E258" s="5" t="s">
        <v>1839</v>
      </c>
      <c r="F258" s="5"/>
      <c r="G258" s="5" t="s">
        <v>501</v>
      </c>
      <c r="H258" s="5" t="s">
        <v>1840</v>
      </c>
      <c r="I258" s="5" t="s">
        <v>1841</v>
      </c>
      <c r="J258" s="5"/>
      <c r="K258" s="21"/>
      <c r="L258" s="24"/>
      <c r="M258" s="5"/>
      <c r="N258" s="5" t="s">
        <v>1087</v>
      </c>
    </row>
    <row r="259" spans="2:14" ht="18" customHeight="1" x14ac:dyDescent="0.2">
      <c r="B259" s="21">
        <v>251</v>
      </c>
      <c r="C259" s="1" t="s">
        <v>1842</v>
      </c>
      <c r="D259" s="5" t="s">
        <v>1534</v>
      </c>
      <c r="E259" s="5" t="s">
        <v>1843</v>
      </c>
      <c r="F259" s="5" t="s">
        <v>1151</v>
      </c>
      <c r="G259" s="5" t="s">
        <v>565</v>
      </c>
      <c r="H259" s="5" t="s">
        <v>1844</v>
      </c>
      <c r="I259" s="5" t="s">
        <v>1782</v>
      </c>
      <c r="J259" s="5"/>
      <c r="K259" s="21"/>
      <c r="L259" s="24"/>
      <c r="M259" s="5"/>
      <c r="N259" s="5" t="s">
        <v>1087</v>
      </c>
    </row>
    <row r="260" spans="2:14" ht="18" customHeight="1" x14ac:dyDescent="0.2">
      <c r="B260" s="21">
        <v>252</v>
      </c>
      <c r="C260" s="1" t="s">
        <v>1842</v>
      </c>
      <c r="D260" s="5" t="s">
        <v>1534</v>
      </c>
      <c r="E260" s="5" t="s">
        <v>1845</v>
      </c>
      <c r="F260" s="5"/>
      <c r="G260" s="5" t="s">
        <v>501</v>
      </c>
      <c r="H260" s="5" t="s">
        <v>1846</v>
      </c>
      <c r="I260" s="5" t="s">
        <v>1847</v>
      </c>
      <c r="J260" s="5"/>
      <c r="K260" s="21" t="s">
        <v>1086</v>
      </c>
      <c r="L260" s="24"/>
      <c r="M260" s="5"/>
      <c r="N260" s="5" t="s">
        <v>1087</v>
      </c>
    </row>
    <row r="261" spans="2:14" ht="18" customHeight="1" x14ac:dyDescent="0.2">
      <c r="B261" s="21">
        <v>253</v>
      </c>
      <c r="C261" s="1" t="s">
        <v>1842</v>
      </c>
      <c r="D261" s="5" t="s">
        <v>1534</v>
      </c>
      <c r="E261" s="5" t="s">
        <v>1848</v>
      </c>
      <c r="F261" s="5"/>
      <c r="G261" s="5" t="s">
        <v>501</v>
      </c>
      <c r="H261" s="5" t="s">
        <v>1849</v>
      </c>
      <c r="I261" s="5" t="s">
        <v>1850</v>
      </c>
      <c r="J261" s="5"/>
      <c r="K261" s="21"/>
      <c r="L261" s="24"/>
      <c r="M261" s="5"/>
      <c r="N261" s="5" t="s">
        <v>1087</v>
      </c>
    </row>
    <row r="262" spans="2:14" ht="18" customHeight="1" x14ac:dyDescent="0.2">
      <c r="B262" s="21">
        <v>254</v>
      </c>
      <c r="C262" s="1" t="s">
        <v>1851</v>
      </c>
      <c r="D262" s="5" t="s">
        <v>1534</v>
      </c>
      <c r="E262" s="5" t="s">
        <v>1852</v>
      </c>
      <c r="F262" s="5"/>
      <c r="G262" s="5" t="s">
        <v>501</v>
      </c>
      <c r="H262" s="5" t="s">
        <v>1853</v>
      </c>
      <c r="I262" s="5" t="s">
        <v>1854</v>
      </c>
      <c r="J262" s="5"/>
      <c r="K262" s="21" t="s">
        <v>1086</v>
      </c>
      <c r="L262" s="24"/>
      <c r="M262" s="5"/>
      <c r="N262" s="5" t="s">
        <v>1087</v>
      </c>
    </row>
    <row r="263" spans="2:14" ht="18" customHeight="1" x14ac:dyDescent="0.2">
      <c r="B263" s="21">
        <v>255</v>
      </c>
      <c r="C263" s="1" t="s">
        <v>1851</v>
      </c>
      <c r="D263" s="5" t="s">
        <v>1534</v>
      </c>
      <c r="E263" s="5" t="s">
        <v>1855</v>
      </c>
      <c r="F263" s="5"/>
      <c r="G263" s="5" t="s">
        <v>501</v>
      </c>
      <c r="H263" s="5" t="s">
        <v>1856</v>
      </c>
      <c r="I263" s="5" t="s">
        <v>1857</v>
      </c>
      <c r="J263" s="5"/>
      <c r="K263" s="21" t="s">
        <v>1086</v>
      </c>
      <c r="L263" s="24"/>
      <c r="M263" s="5"/>
      <c r="N263" s="5" t="s">
        <v>1087</v>
      </c>
    </row>
    <row r="264" spans="2:14" ht="18" customHeight="1" x14ac:dyDescent="0.2">
      <c r="B264" s="21">
        <v>256</v>
      </c>
      <c r="C264" s="1" t="s">
        <v>1858</v>
      </c>
      <c r="D264" s="5" t="s">
        <v>1534</v>
      </c>
      <c r="E264" s="5" t="s">
        <v>1859</v>
      </c>
      <c r="F264" s="5" t="s">
        <v>1860</v>
      </c>
      <c r="G264" s="5" t="s">
        <v>481</v>
      </c>
      <c r="H264" s="5"/>
      <c r="I264" s="5"/>
      <c r="J264" s="5"/>
      <c r="K264" s="21"/>
      <c r="L264" s="24"/>
      <c r="M264" s="5"/>
      <c r="N264" s="5" t="s">
        <v>1087</v>
      </c>
    </row>
    <row r="265" spans="2:14" ht="18" customHeight="1" x14ac:dyDescent="0.2">
      <c r="B265" s="21">
        <v>257</v>
      </c>
      <c r="C265" s="1" t="s">
        <v>1858</v>
      </c>
      <c r="D265" s="5" t="s">
        <v>1534</v>
      </c>
      <c r="E265" s="5" t="s">
        <v>1861</v>
      </c>
      <c r="F265" s="5"/>
      <c r="G265" s="5" t="s">
        <v>501</v>
      </c>
      <c r="H265" s="5" t="s">
        <v>1862</v>
      </c>
      <c r="I265" s="5" t="s">
        <v>1863</v>
      </c>
      <c r="J265" s="5"/>
      <c r="K265" s="21"/>
      <c r="L265" s="24"/>
      <c r="M265" s="5"/>
      <c r="N265" s="5" t="s">
        <v>1087</v>
      </c>
    </row>
    <row r="266" spans="2:14" ht="18" customHeight="1" x14ac:dyDescent="0.2">
      <c r="B266" s="21">
        <v>258</v>
      </c>
      <c r="C266" s="1" t="s">
        <v>1864</v>
      </c>
      <c r="D266" s="5" t="s">
        <v>1534</v>
      </c>
      <c r="E266" s="5" t="s">
        <v>1865</v>
      </c>
      <c r="F266" s="5" t="s">
        <v>1866</v>
      </c>
      <c r="G266" s="5" t="s">
        <v>455</v>
      </c>
      <c r="H266" s="5" t="s">
        <v>1867</v>
      </c>
      <c r="I266" s="5" t="s">
        <v>1868</v>
      </c>
      <c r="J266" s="5"/>
      <c r="K266" s="21" t="s">
        <v>1086</v>
      </c>
      <c r="L266" s="24"/>
      <c r="M266" s="5"/>
      <c r="N266" s="5" t="s">
        <v>1087</v>
      </c>
    </row>
    <row r="267" spans="2:14" ht="18" customHeight="1" x14ac:dyDescent="0.2">
      <c r="B267" s="21">
        <v>259</v>
      </c>
      <c r="C267" s="1" t="s">
        <v>1869</v>
      </c>
      <c r="D267" s="5" t="s">
        <v>1534</v>
      </c>
      <c r="E267" s="5" t="s">
        <v>1870</v>
      </c>
      <c r="F267" s="5"/>
      <c r="G267" s="5" t="s">
        <v>501</v>
      </c>
      <c r="H267" s="5" t="s">
        <v>1871</v>
      </c>
      <c r="I267" s="5" t="s">
        <v>1872</v>
      </c>
      <c r="J267" s="5"/>
      <c r="K267" s="21" t="s">
        <v>1086</v>
      </c>
      <c r="L267" s="24"/>
      <c r="M267" s="5"/>
      <c r="N267" s="5" t="s">
        <v>1087</v>
      </c>
    </row>
    <row r="268" spans="2:14" ht="18" customHeight="1" x14ac:dyDescent="0.2">
      <c r="B268" s="21">
        <v>260</v>
      </c>
      <c r="C268" s="1" t="s">
        <v>1873</v>
      </c>
      <c r="D268" s="5" t="s">
        <v>1534</v>
      </c>
      <c r="E268" s="5" t="s">
        <v>1874</v>
      </c>
      <c r="F268" s="5"/>
      <c r="G268" s="5" t="s">
        <v>501</v>
      </c>
      <c r="H268" s="5" t="s">
        <v>1875</v>
      </c>
      <c r="I268" s="5"/>
      <c r="J268" s="5"/>
      <c r="K268" s="21" t="s">
        <v>1086</v>
      </c>
      <c r="L268" s="24"/>
      <c r="M268" s="5"/>
      <c r="N268" s="5" t="s">
        <v>1087</v>
      </c>
    </row>
    <row r="269" spans="2:14" ht="18" customHeight="1" x14ac:dyDescent="0.2">
      <c r="B269" s="21">
        <v>261</v>
      </c>
      <c r="C269" s="1" t="s">
        <v>1873</v>
      </c>
      <c r="D269" s="5" t="s">
        <v>1534</v>
      </c>
      <c r="E269" s="5" t="s">
        <v>1876</v>
      </c>
      <c r="F269" s="5"/>
      <c r="G269" s="5" t="s">
        <v>501</v>
      </c>
      <c r="H269" s="5"/>
      <c r="I269" s="5"/>
      <c r="J269" s="5"/>
      <c r="K269" s="21"/>
      <c r="L269" s="24"/>
      <c r="M269" s="5"/>
      <c r="N269" s="5" t="s">
        <v>1087</v>
      </c>
    </row>
    <row r="270" spans="2:14" ht="18" customHeight="1" x14ac:dyDescent="0.2">
      <c r="B270" s="21">
        <v>262</v>
      </c>
      <c r="C270" s="1" t="s">
        <v>1877</v>
      </c>
      <c r="D270" s="5" t="s">
        <v>1534</v>
      </c>
      <c r="E270" s="5" t="s">
        <v>1878</v>
      </c>
      <c r="F270" s="5" t="s">
        <v>406</v>
      </c>
      <c r="G270" s="5" t="s">
        <v>469</v>
      </c>
      <c r="H270" s="5" t="s">
        <v>1879</v>
      </c>
      <c r="I270" s="5" t="s">
        <v>1880</v>
      </c>
      <c r="J270" s="5"/>
      <c r="K270" s="21"/>
      <c r="L270" s="24"/>
      <c r="M270" s="5"/>
      <c r="N270" s="5" t="s">
        <v>1087</v>
      </c>
    </row>
    <row r="271" spans="2:14" ht="18" customHeight="1" x14ac:dyDescent="0.2">
      <c r="B271" s="21">
        <v>263</v>
      </c>
      <c r="C271" s="1" t="s">
        <v>1877</v>
      </c>
      <c r="D271" s="5" t="s">
        <v>1534</v>
      </c>
      <c r="E271" s="5" t="s">
        <v>1881</v>
      </c>
      <c r="F271" s="5" t="s">
        <v>474</v>
      </c>
      <c r="G271" s="5" t="s">
        <v>475</v>
      </c>
      <c r="H271" s="5" t="s">
        <v>1882</v>
      </c>
      <c r="I271" s="5" t="s">
        <v>1883</v>
      </c>
      <c r="J271" s="5"/>
      <c r="K271" s="21"/>
      <c r="L271" s="24"/>
      <c r="M271" s="5"/>
      <c r="N271" s="5" t="s">
        <v>1087</v>
      </c>
    </row>
    <row r="272" spans="2:14" ht="18" customHeight="1" x14ac:dyDescent="0.2">
      <c r="B272" s="21">
        <v>264</v>
      </c>
      <c r="C272" s="1" t="s">
        <v>1877</v>
      </c>
      <c r="D272" s="5" t="s">
        <v>1534</v>
      </c>
      <c r="E272" s="5" t="s">
        <v>1884</v>
      </c>
      <c r="F272" s="5" t="s">
        <v>1885</v>
      </c>
      <c r="G272" s="5" t="s">
        <v>481</v>
      </c>
      <c r="H272" s="5" t="s">
        <v>1886</v>
      </c>
      <c r="I272" s="5" t="s">
        <v>1887</v>
      </c>
      <c r="J272" s="5"/>
      <c r="K272" s="21"/>
      <c r="L272" s="24"/>
      <c r="M272" s="5"/>
      <c r="N272" s="5" t="s">
        <v>1087</v>
      </c>
    </row>
    <row r="273" spans="2:14" ht="18" customHeight="1" x14ac:dyDescent="0.2">
      <c r="B273" s="21">
        <v>265</v>
      </c>
      <c r="C273" s="1" t="s">
        <v>1877</v>
      </c>
      <c r="D273" s="5" t="s">
        <v>1534</v>
      </c>
      <c r="E273" s="5" t="s">
        <v>1888</v>
      </c>
      <c r="F273" s="5"/>
      <c r="G273" s="5" t="s">
        <v>501</v>
      </c>
      <c r="H273" s="5" t="s">
        <v>1889</v>
      </c>
      <c r="I273" s="5" t="s">
        <v>1890</v>
      </c>
      <c r="J273" s="5"/>
      <c r="K273" s="21"/>
      <c r="L273" s="24"/>
      <c r="M273" s="5"/>
      <c r="N273" s="5" t="s">
        <v>1087</v>
      </c>
    </row>
    <row r="274" spans="2:14" ht="18" customHeight="1" x14ac:dyDescent="0.2">
      <c r="B274" s="21">
        <v>266</v>
      </c>
      <c r="C274" s="1" t="s">
        <v>1891</v>
      </c>
      <c r="D274" s="5" t="s">
        <v>1534</v>
      </c>
      <c r="E274" s="5" t="s">
        <v>1892</v>
      </c>
      <c r="F274" s="5"/>
      <c r="G274" s="5" t="s">
        <v>501</v>
      </c>
      <c r="H274" s="5" t="s">
        <v>1893</v>
      </c>
      <c r="I274" s="5" t="s">
        <v>1894</v>
      </c>
      <c r="J274" s="5"/>
      <c r="K274" s="21"/>
      <c r="L274" s="24"/>
      <c r="M274" s="5"/>
      <c r="N274" s="5" t="s">
        <v>1087</v>
      </c>
    </row>
    <row r="275" spans="2:14" ht="18" customHeight="1" x14ac:dyDescent="0.2">
      <c r="B275" s="21">
        <v>267</v>
      </c>
      <c r="C275" s="1" t="s">
        <v>1891</v>
      </c>
      <c r="D275" s="5" t="s">
        <v>1534</v>
      </c>
      <c r="E275" s="5" t="s">
        <v>1895</v>
      </c>
      <c r="F275" s="5"/>
      <c r="G275" s="5" t="s">
        <v>501</v>
      </c>
      <c r="H275" s="5" t="s">
        <v>1896</v>
      </c>
      <c r="I275" s="5" t="s">
        <v>1897</v>
      </c>
      <c r="J275" s="5"/>
      <c r="K275" s="21"/>
      <c r="L275" s="24"/>
      <c r="M275" s="5"/>
      <c r="N275" s="5" t="s">
        <v>1087</v>
      </c>
    </row>
    <row r="276" spans="2:14" ht="18" customHeight="1" x14ac:dyDescent="0.2">
      <c r="B276" s="21">
        <v>268</v>
      </c>
      <c r="C276" s="1" t="s">
        <v>1898</v>
      </c>
      <c r="D276" s="5" t="s">
        <v>1534</v>
      </c>
      <c r="E276" s="5" t="s">
        <v>1899</v>
      </c>
      <c r="F276" s="5"/>
      <c r="G276" s="5" t="s">
        <v>501</v>
      </c>
      <c r="H276" s="5" t="s">
        <v>1900</v>
      </c>
      <c r="I276" s="5" t="s">
        <v>1901</v>
      </c>
      <c r="J276" s="5"/>
      <c r="K276" s="21"/>
      <c r="L276" s="24"/>
      <c r="M276" s="5"/>
      <c r="N276" s="5" t="s">
        <v>1087</v>
      </c>
    </row>
    <row r="277" spans="2:14" ht="18" customHeight="1" x14ac:dyDescent="0.2">
      <c r="B277" s="21">
        <v>269</v>
      </c>
      <c r="C277" s="1" t="s">
        <v>1902</v>
      </c>
      <c r="D277" s="5" t="s">
        <v>1534</v>
      </c>
      <c r="E277" s="5" t="s">
        <v>1903</v>
      </c>
      <c r="F277" s="5"/>
      <c r="G277" s="5" t="s">
        <v>501</v>
      </c>
      <c r="H277" s="5" t="s">
        <v>1904</v>
      </c>
      <c r="I277" s="5" t="s">
        <v>1905</v>
      </c>
      <c r="J277" s="5"/>
      <c r="K277" s="21"/>
      <c r="L277" s="24"/>
      <c r="M277" s="5"/>
      <c r="N277" s="5" t="s">
        <v>1087</v>
      </c>
    </row>
    <row r="278" spans="2:14" ht="18" customHeight="1" x14ac:dyDescent="0.2">
      <c r="B278" s="21">
        <v>270</v>
      </c>
      <c r="C278" s="1" t="s">
        <v>1906</v>
      </c>
      <c r="D278" s="5" t="s">
        <v>1534</v>
      </c>
      <c r="E278" s="5" t="s">
        <v>1907</v>
      </c>
      <c r="F278" s="5"/>
      <c r="G278" s="5" t="s">
        <v>501</v>
      </c>
      <c r="H278" s="5" t="s">
        <v>1908</v>
      </c>
      <c r="I278" s="5" t="s">
        <v>1909</v>
      </c>
      <c r="J278" s="5"/>
      <c r="K278" s="21" t="s">
        <v>1086</v>
      </c>
      <c r="L278" s="24"/>
      <c r="M278" s="5"/>
      <c r="N278" s="5" t="s">
        <v>1087</v>
      </c>
    </row>
    <row r="279" spans="2:14" ht="18" customHeight="1" x14ac:dyDescent="0.2">
      <c r="B279" s="21">
        <v>271</v>
      </c>
      <c r="C279" s="1" t="s">
        <v>1906</v>
      </c>
      <c r="D279" s="5" t="s">
        <v>1534</v>
      </c>
      <c r="E279" s="5" t="s">
        <v>1910</v>
      </c>
      <c r="F279" s="5"/>
      <c r="G279" s="5" t="s">
        <v>501</v>
      </c>
      <c r="H279" s="5" t="s">
        <v>1911</v>
      </c>
      <c r="I279" s="5" t="s">
        <v>1912</v>
      </c>
      <c r="J279" s="5"/>
      <c r="K279" s="21" t="s">
        <v>1086</v>
      </c>
      <c r="L279" s="24"/>
      <c r="M279" s="5"/>
      <c r="N279" s="5" t="s">
        <v>1087</v>
      </c>
    </row>
    <row r="280" spans="2:14" ht="18" customHeight="1" x14ac:dyDescent="0.2">
      <c r="B280" s="21">
        <v>272</v>
      </c>
      <c r="C280" s="1" t="s">
        <v>1913</v>
      </c>
      <c r="D280" s="5" t="s">
        <v>1534</v>
      </c>
      <c r="E280" s="5" t="s">
        <v>1914</v>
      </c>
      <c r="F280" s="5" t="s">
        <v>1811</v>
      </c>
      <c r="G280" s="5" t="s">
        <v>469</v>
      </c>
      <c r="H280" s="5" t="s">
        <v>1915</v>
      </c>
      <c r="I280" s="5" t="s">
        <v>1916</v>
      </c>
      <c r="J280" s="5"/>
      <c r="K280" s="21"/>
      <c r="L280" s="24"/>
      <c r="M280" s="5"/>
      <c r="N280" s="5" t="s">
        <v>1087</v>
      </c>
    </row>
    <row r="281" spans="2:14" ht="18" customHeight="1" x14ac:dyDescent="0.2">
      <c r="B281" s="21">
        <v>273</v>
      </c>
      <c r="C281" s="1" t="s">
        <v>1913</v>
      </c>
      <c r="D281" s="5" t="s">
        <v>1534</v>
      </c>
      <c r="E281" s="5" t="s">
        <v>1917</v>
      </c>
      <c r="F281" s="5" t="s">
        <v>1918</v>
      </c>
      <c r="G281" s="5" t="s">
        <v>481</v>
      </c>
      <c r="H281" s="5" t="s">
        <v>1919</v>
      </c>
      <c r="I281" s="5" t="s">
        <v>1920</v>
      </c>
      <c r="J281" s="5"/>
      <c r="K281" s="21"/>
      <c r="L281" s="24"/>
      <c r="M281" s="5"/>
      <c r="N281" s="5" t="s">
        <v>1087</v>
      </c>
    </row>
    <row r="282" spans="2:14" ht="18" customHeight="1" x14ac:dyDescent="0.2">
      <c r="B282" s="21">
        <v>274</v>
      </c>
      <c r="C282" s="1" t="s">
        <v>1921</v>
      </c>
      <c r="D282" s="5" t="s">
        <v>1534</v>
      </c>
      <c r="E282" s="5" t="s">
        <v>1922</v>
      </c>
      <c r="F282" s="5"/>
      <c r="G282" s="5" t="s">
        <v>501</v>
      </c>
      <c r="H282" s="5" t="s">
        <v>1923</v>
      </c>
      <c r="I282" s="5" t="s">
        <v>1924</v>
      </c>
      <c r="J282" s="5"/>
      <c r="K282" s="21" t="s">
        <v>1086</v>
      </c>
      <c r="L282" s="24"/>
      <c r="M282" s="5"/>
      <c r="N282" s="5" t="s">
        <v>1087</v>
      </c>
    </row>
    <row r="283" spans="2:14" ht="18" customHeight="1" x14ac:dyDescent="0.2">
      <c r="B283" s="21">
        <v>275</v>
      </c>
      <c r="C283" s="1" t="s">
        <v>1925</v>
      </c>
      <c r="D283" s="5" t="s">
        <v>1534</v>
      </c>
      <c r="E283" s="5" t="s">
        <v>1926</v>
      </c>
      <c r="F283" s="5"/>
      <c r="G283" s="5" t="s">
        <v>501</v>
      </c>
      <c r="H283" s="5" t="s">
        <v>1927</v>
      </c>
      <c r="I283" s="5" t="s">
        <v>1928</v>
      </c>
      <c r="J283" s="5"/>
      <c r="K283" s="21"/>
      <c r="L283" s="24"/>
      <c r="M283" s="5"/>
      <c r="N283" s="5" t="s">
        <v>1087</v>
      </c>
    </row>
    <row r="284" spans="2:14" ht="18" customHeight="1" x14ac:dyDescent="0.2">
      <c r="B284" s="21">
        <v>276</v>
      </c>
      <c r="C284" s="1" t="s">
        <v>1925</v>
      </c>
      <c r="D284" s="5" t="s">
        <v>1534</v>
      </c>
      <c r="E284" s="5" t="s">
        <v>1929</v>
      </c>
      <c r="F284" s="5"/>
      <c r="G284" s="5" t="s">
        <v>501</v>
      </c>
      <c r="H284" s="5" t="s">
        <v>1930</v>
      </c>
      <c r="I284" s="5" t="s">
        <v>1931</v>
      </c>
      <c r="J284" s="5"/>
      <c r="K284" s="21" t="s">
        <v>1086</v>
      </c>
      <c r="L284" s="24"/>
      <c r="M284" s="5"/>
      <c r="N284" s="5" t="s">
        <v>1087</v>
      </c>
    </row>
    <row r="285" spans="2:14" ht="18" customHeight="1" x14ac:dyDescent="0.2">
      <c r="B285" s="21">
        <v>277</v>
      </c>
      <c r="C285" s="1" t="s">
        <v>1932</v>
      </c>
      <c r="D285" s="5" t="s">
        <v>1534</v>
      </c>
      <c r="E285" s="5" t="s">
        <v>1933</v>
      </c>
      <c r="F285" s="5"/>
      <c r="G285" s="5" t="s">
        <v>501</v>
      </c>
      <c r="H285" s="5" t="s">
        <v>1934</v>
      </c>
      <c r="I285" s="5" t="s">
        <v>1935</v>
      </c>
      <c r="J285" s="5"/>
      <c r="K285" s="21" t="s">
        <v>1086</v>
      </c>
      <c r="L285" s="24"/>
      <c r="M285" s="5"/>
      <c r="N285" s="5" t="s">
        <v>1087</v>
      </c>
    </row>
    <row r="286" spans="2:14" ht="18" customHeight="1" x14ac:dyDescent="0.2">
      <c r="B286" s="21">
        <v>278</v>
      </c>
      <c r="C286" s="1" t="s">
        <v>1932</v>
      </c>
      <c r="D286" s="5" t="s">
        <v>1534</v>
      </c>
      <c r="E286" s="5" t="s">
        <v>1936</v>
      </c>
      <c r="F286" s="5"/>
      <c r="G286" s="5" t="s">
        <v>501</v>
      </c>
      <c r="H286" s="5" t="s">
        <v>1937</v>
      </c>
      <c r="I286" s="5" t="s">
        <v>1938</v>
      </c>
      <c r="J286" s="5"/>
      <c r="K286" s="21"/>
      <c r="L286" s="24"/>
      <c r="M286" s="5"/>
      <c r="N286" s="5" t="s">
        <v>1087</v>
      </c>
    </row>
    <row r="287" spans="2:14" ht="18" customHeight="1" x14ac:dyDescent="0.2">
      <c r="B287" s="21">
        <v>279</v>
      </c>
      <c r="C287" s="1" t="s">
        <v>1939</v>
      </c>
      <c r="D287" s="5" t="s">
        <v>1534</v>
      </c>
      <c r="E287" s="5" t="s">
        <v>1940</v>
      </c>
      <c r="F287" s="5" t="s">
        <v>1941</v>
      </c>
      <c r="G287" s="5" t="s">
        <v>469</v>
      </c>
      <c r="H287" s="5" t="s">
        <v>1942</v>
      </c>
      <c r="I287" s="5" t="s">
        <v>1943</v>
      </c>
      <c r="J287" s="5"/>
      <c r="K287" s="21"/>
      <c r="L287" s="24"/>
      <c r="M287" s="5"/>
      <c r="N287" s="5" t="s">
        <v>1087</v>
      </c>
    </row>
    <row r="288" spans="2:14" ht="18" customHeight="1" x14ac:dyDescent="0.2">
      <c r="B288" s="21">
        <v>280</v>
      </c>
      <c r="C288" s="1" t="s">
        <v>1939</v>
      </c>
      <c r="D288" s="5" t="s">
        <v>1534</v>
      </c>
      <c r="E288" s="5" t="s">
        <v>1944</v>
      </c>
      <c r="F288" s="5" t="s">
        <v>1156</v>
      </c>
      <c r="G288" s="5" t="s">
        <v>565</v>
      </c>
      <c r="H288" s="5" t="s">
        <v>1945</v>
      </c>
      <c r="I288" s="5" t="s">
        <v>1946</v>
      </c>
      <c r="J288" s="5"/>
      <c r="K288" s="21"/>
      <c r="L288" s="24"/>
      <c r="M288" s="5"/>
      <c r="N288" s="5" t="s">
        <v>1087</v>
      </c>
    </row>
    <row r="289" spans="2:14" ht="30" customHeight="1" x14ac:dyDescent="0.2">
      <c r="B289" s="21">
        <v>281</v>
      </c>
      <c r="C289" s="1" t="s">
        <v>1947</v>
      </c>
      <c r="D289" s="5" t="s">
        <v>1534</v>
      </c>
      <c r="E289" s="5" t="s">
        <v>1948</v>
      </c>
      <c r="F289" s="5"/>
      <c r="G289" s="5" t="s">
        <v>501</v>
      </c>
      <c r="H289" s="5" t="s">
        <v>1949</v>
      </c>
      <c r="I289" s="5" t="s">
        <v>1950</v>
      </c>
      <c r="J289" s="5"/>
      <c r="K289" s="21" t="s">
        <v>1086</v>
      </c>
      <c r="L289" s="24"/>
      <c r="M289" s="5"/>
      <c r="N289" s="5" t="s">
        <v>1087</v>
      </c>
    </row>
    <row r="290" spans="2:14" ht="18" customHeight="1" x14ac:dyDescent="0.2">
      <c r="B290" s="21">
        <v>282</v>
      </c>
      <c r="C290" s="1" t="s">
        <v>1951</v>
      </c>
      <c r="D290" s="5" t="s">
        <v>1534</v>
      </c>
      <c r="E290" s="5" t="s">
        <v>1952</v>
      </c>
      <c r="F290" s="5" t="s">
        <v>1179</v>
      </c>
      <c r="G290" s="5" t="s">
        <v>455</v>
      </c>
      <c r="H290" s="5" t="s">
        <v>1953</v>
      </c>
      <c r="I290" s="5" t="s">
        <v>1954</v>
      </c>
      <c r="J290" s="5"/>
      <c r="K290" s="21"/>
      <c r="L290" s="24"/>
      <c r="M290" s="5"/>
      <c r="N290" s="5" t="s">
        <v>1087</v>
      </c>
    </row>
    <row r="291" spans="2:14" ht="18" customHeight="1" x14ac:dyDescent="0.2">
      <c r="B291" s="21">
        <v>283</v>
      </c>
      <c r="C291" s="1" t="s">
        <v>1951</v>
      </c>
      <c r="D291" s="5" t="s">
        <v>1534</v>
      </c>
      <c r="E291" s="5" t="s">
        <v>1955</v>
      </c>
      <c r="F291" s="5"/>
      <c r="G291" s="5" t="s">
        <v>501</v>
      </c>
      <c r="H291" s="5" t="s">
        <v>1956</v>
      </c>
      <c r="I291" s="5" t="s">
        <v>1957</v>
      </c>
      <c r="J291" s="5"/>
      <c r="K291" s="21" t="s">
        <v>1086</v>
      </c>
      <c r="L291" s="24"/>
      <c r="M291" s="5"/>
      <c r="N291" s="5" t="s">
        <v>1087</v>
      </c>
    </row>
    <row r="292" spans="2:14" ht="18" customHeight="1" x14ac:dyDescent="0.2">
      <c r="B292" s="21">
        <v>284</v>
      </c>
      <c r="C292" s="1" t="s">
        <v>1951</v>
      </c>
      <c r="D292" s="5" t="s">
        <v>1534</v>
      </c>
      <c r="E292" s="5" t="s">
        <v>1958</v>
      </c>
      <c r="F292" s="5"/>
      <c r="G292" s="5" t="s">
        <v>501</v>
      </c>
      <c r="H292" s="5" t="s">
        <v>1959</v>
      </c>
      <c r="I292" s="5" t="s">
        <v>1960</v>
      </c>
      <c r="J292" s="5"/>
      <c r="K292" s="21" t="s">
        <v>1086</v>
      </c>
      <c r="L292" s="24"/>
      <c r="M292" s="5"/>
      <c r="N292" s="5" t="s">
        <v>1087</v>
      </c>
    </row>
    <row r="293" spans="2:14" ht="18" customHeight="1" x14ac:dyDescent="0.2">
      <c r="B293" s="21">
        <v>285</v>
      </c>
      <c r="C293" s="1" t="s">
        <v>1961</v>
      </c>
      <c r="D293" s="5" t="s">
        <v>1534</v>
      </c>
      <c r="E293" s="5" t="s">
        <v>1962</v>
      </c>
      <c r="F293" s="5"/>
      <c r="G293" s="5" t="s">
        <v>501</v>
      </c>
      <c r="H293" s="5" t="s">
        <v>1963</v>
      </c>
      <c r="I293" s="5" t="s">
        <v>1964</v>
      </c>
      <c r="J293" s="5"/>
      <c r="K293" s="21" t="s">
        <v>1086</v>
      </c>
      <c r="L293" s="24"/>
      <c r="M293" s="5"/>
      <c r="N293" s="5" t="s">
        <v>1087</v>
      </c>
    </row>
    <row r="294" spans="2:14" ht="18" customHeight="1" x14ac:dyDescent="0.2">
      <c r="B294" s="21">
        <v>286</v>
      </c>
      <c r="C294" s="1" t="s">
        <v>1965</v>
      </c>
      <c r="D294" s="5" t="s">
        <v>1534</v>
      </c>
      <c r="E294" s="5" t="s">
        <v>1966</v>
      </c>
      <c r="F294" s="5" t="s">
        <v>1815</v>
      </c>
      <c r="G294" s="5" t="s">
        <v>1046</v>
      </c>
      <c r="H294" s="5" t="s">
        <v>1967</v>
      </c>
      <c r="I294" s="5" t="s">
        <v>1968</v>
      </c>
      <c r="J294" s="5"/>
      <c r="K294" s="21"/>
      <c r="L294" s="24"/>
      <c r="M294" s="5"/>
      <c r="N294" s="5" t="s">
        <v>1087</v>
      </c>
    </row>
    <row r="295" spans="2:14" ht="18" customHeight="1" x14ac:dyDescent="0.2">
      <c r="B295" s="21">
        <v>287</v>
      </c>
      <c r="C295" s="1" t="s">
        <v>1965</v>
      </c>
      <c r="D295" s="5" t="s">
        <v>1534</v>
      </c>
      <c r="E295" s="5" t="s">
        <v>1969</v>
      </c>
      <c r="F295" s="5"/>
      <c r="G295" s="5" t="s">
        <v>501</v>
      </c>
      <c r="H295" s="5" t="s">
        <v>1970</v>
      </c>
      <c r="I295" s="5" t="s">
        <v>1971</v>
      </c>
      <c r="J295" s="5"/>
      <c r="K295" s="21" t="s">
        <v>1086</v>
      </c>
      <c r="L295" s="24"/>
      <c r="M295" s="5"/>
      <c r="N295" s="5" t="s">
        <v>1087</v>
      </c>
    </row>
    <row r="296" spans="2:14" ht="18" customHeight="1" x14ac:dyDescent="0.2">
      <c r="B296" s="21">
        <v>288</v>
      </c>
      <c r="C296" s="1" t="s">
        <v>1972</v>
      </c>
      <c r="D296" s="5" t="s">
        <v>1576</v>
      </c>
      <c r="E296" s="5" t="s">
        <v>1973</v>
      </c>
      <c r="F296" s="5" t="s">
        <v>474</v>
      </c>
      <c r="G296" s="5" t="s">
        <v>475</v>
      </c>
      <c r="H296" s="5"/>
      <c r="I296" s="5" t="s">
        <v>1974</v>
      </c>
      <c r="J296" s="5"/>
      <c r="K296" s="21"/>
      <c r="L296" s="24"/>
      <c r="M296" s="5"/>
      <c r="N296" s="5" t="s">
        <v>1087</v>
      </c>
    </row>
    <row r="297" spans="2:14" ht="18" customHeight="1" x14ac:dyDescent="0.2">
      <c r="B297" s="21">
        <v>289</v>
      </c>
      <c r="C297" s="1" t="s">
        <v>1975</v>
      </c>
      <c r="D297" s="5" t="s">
        <v>1976</v>
      </c>
      <c r="E297" s="5" t="s">
        <v>1977</v>
      </c>
      <c r="F297" s="5"/>
      <c r="G297" s="5" t="s">
        <v>501</v>
      </c>
      <c r="H297" s="5"/>
      <c r="I297" s="5" t="s">
        <v>1978</v>
      </c>
      <c r="J297" s="5"/>
      <c r="K297" s="21"/>
      <c r="L297" s="24"/>
      <c r="M297" s="5"/>
      <c r="N297" s="5" t="s">
        <v>1087</v>
      </c>
    </row>
    <row r="298" spans="2:14" ht="18" customHeight="1" x14ac:dyDescent="0.2">
      <c r="B298" s="21">
        <v>290</v>
      </c>
      <c r="C298" s="1" t="s">
        <v>1979</v>
      </c>
      <c r="D298" s="5" t="s">
        <v>1643</v>
      </c>
      <c r="E298" s="5" t="s">
        <v>1980</v>
      </c>
      <c r="F298" s="5" t="s">
        <v>1981</v>
      </c>
      <c r="G298" s="5" t="s">
        <v>497</v>
      </c>
      <c r="H298" s="5" t="s">
        <v>1982</v>
      </c>
      <c r="I298" s="5" t="s">
        <v>1983</v>
      </c>
      <c r="J298" s="5"/>
      <c r="K298" s="21"/>
      <c r="L298" s="24"/>
      <c r="M298" s="5"/>
      <c r="N298" s="5" t="s">
        <v>1087</v>
      </c>
    </row>
    <row r="299" spans="2:14" ht="18" customHeight="1" x14ac:dyDescent="0.2">
      <c r="B299" s="21">
        <v>291</v>
      </c>
      <c r="C299" s="1" t="s">
        <v>1984</v>
      </c>
      <c r="D299" s="5" t="s">
        <v>1643</v>
      </c>
      <c r="E299" s="5" t="s">
        <v>1985</v>
      </c>
      <c r="F299" s="5"/>
      <c r="G299" s="5" t="s">
        <v>501</v>
      </c>
      <c r="H299" s="5" t="s">
        <v>1986</v>
      </c>
      <c r="I299" s="5" t="s">
        <v>1987</v>
      </c>
      <c r="J299" s="5"/>
      <c r="K299" s="21"/>
      <c r="L299" s="24"/>
      <c r="M299" s="5"/>
      <c r="N299" s="5" t="s">
        <v>1087</v>
      </c>
    </row>
    <row r="300" spans="2:14" ht="18" customHeight="1" x14ac:dyDescent="0.2">
      <c r="B300" s="21">
        <v>292</v>
      </c>
      <c r="C300" s="1" t="s">
        <v>1988</v>
      </c>
      <c r="D300" s="5" t="s">
        <v>1643</v>
      </c>
      <c r="E300" s="5" t="s">
        <v>1989</v>
      </c>
      <c r="F300" s="5"/>
      <c r="G300" s="5" t="s">
        <v>501</v>
      </c>
      <c r="H300" s="5" t="s">
        <v>1990</v>
      </c>
      <c r="I300" s="5" t="s">
        <v>1991</v>
      </c>
      <c r="J300" s="5"/>
      <c r="K300" s="21"/>
      <c r="L300" s="24"/>
      <c r="M300" s="5"/>
      <c r="N300" s="5" t="s">
        <v>1087</v>
      </c>
    </row>
    <row r="301" spans="2:14" ht="18" customHeight="1" x14ac:dyDescent="0.2">
      <c r="B301" s="21">
        <v>293</v>
      </c>
      <c r="C301" s="1" t="s">
        <v>1992</v>
      </c>
      <c r="D301" s="5" t="s">
        <v>1643</v>
      </c>
      <c r="E301" s="5" t="s">
        <v>1993</v>
      </c>
      <c r="F301" s="5" t="s">
        <v>1994</v>
      </c>
      <c r="G301" s="5" t="s">
        <v>565</v>
      </c>
      <c r="H301" s="5" t="s">
        <v>1995</v>
      </c>
      <c r="I301" s="5" t="s">
        <v>1996</v>
      </c>
      <c r="J301" s="5"/>
      <c r="K301" s="21"/>
      <c r="L301" s="24"/>
      <c r="M301" s="5"/>
      <c r="N301" s="5" t="s">
        <v>1087</v>
      </c>
    </row>
    <row r="302" spans="2:14" ht="18" customHeight="1" x14ac:dyDescent="0.2">
      <c r="B302" s="21">
        <v>294</v>
      </c>
      <c r="C302" s="1" t="s">
        <v>1997</v>
      </c>
      <c r="D302" s="5" t="s">
        <v>1643</v>
      </c>
      <c r="E302" s="5" t="s">
        <v>1998</v>
      </c>
      <c r="F302" s="5"/>
      <c r="G302" s="5" t="s">
        <v>501</v>
      </c>
      <c r="H302" s="5" t="s">
        <v>1999</v>
      </c>
      <c r="I302" s="5" t="s">
        <v>2000</v>
      </c>
      <c r="J302" s="5"/>
      <c r="K302" s="21"/>
      <c r="L302" s="24"/>
      <c r="M302" s="5"/>
      <c r="N302" s="5" t="s">
        <v>1087</v>
      </c>
    </row>
    <row r="303" spans="2:14" ht="18" customHeight="1" x14ac:dyDescent="0.2">
      <c r="B303" s="21">
        <v>295</v>
      </c>
      <c r="C303" s="1" t="s">
        <v>2001</v>
      </c>
      <c r="D303" s="5" t="s">
        <v>1643</v>
      </c>
      <c r="E303" s="5" t="s">
        <v>2002</v>
      </c>
      <c r="F303" s="5" t="s">
        <v>2003</v>
      </c>
      <c r="G303" s="5" t="s">
        <v>1046</v>
      </c>
      <c r="H303" s="5" t="s">
        <v>2004</v>
      </c>
      <c r="I303" s="5" t="s">
        <v>2005</v>
      </c>
      <c r="J303" s="5"/>
      <c r="K303" s="21"/>
      <c r="L303" s="24"/>
      <c r="M303" s="5"/>
      <c r="N303" s="5" t="s">
        <v>1087</v>
      </c>
    </row>
    <row r="304" spans="2:14" ht="18" customHeight="1" x14ac:dyDescent="0.2">
      <c r="B304" s="21">
        <v>296</v>
      </c>
      <c r="C304" s="1" t="s">
        <v>2006</v>
      </c>
      <c r="D304" s="5" t="s">
        <v>1643</v>
      </c>
      <c r="E304" s="5" t="s">
        <v>2007</v>
      </c>
      <c r="F304" s="5"/>
      <c r="G304" s="5" t="s">
        <v>501</v>
      </c>
      <c r="H304" s="5" t="s">
        <v>2008</v>
      </c>
      <c r="I304" s="5" t="s">
        <v>2009</v>
      </c>
      <c r="J304" s="5"/>
      <c r="K304" s="21"/>
      <c r="L304" s="24"/>
      <c r="M304" s="5"/>
      <c r="N304" s="5" t="s">
        <v>1087</v>
      </c>
    </row>
    <row r="305" spans="2:14" ht="18" customHeight="1" x14ac:dyDescent="0.2">
      <c r="B305" s="21">
        <v>297</v>
      </c>
      <c r="C305" s="1" t="s">
        <v>2010</v>
      </c>
      <c r="D305" s="5" t="s">
        <v>1643</v>
      </c>
      <c r="E305" s="5" t="s">
        <v>2011</v>
      </c>
      <c r="F305" s="5"/>
      <c r="G305" s="5" t="s">
        <v>501</v>
      </c>
      <c r="H305" s="5" t="s">
        <v>2012</v>
      </c>
      <c r="I305" s="5" t="s">
        <v>2013</v>
      </c>
      <c r="J305" s="5"/>
      <c r="K305" s="21"/>
      <c r="L305" s="24"/>
      <c r="M305" s="5"/>
      <c r="N305" s="5" t="s">
        <v>1087</v>
      </c>
    </row>
    <row r="306" spans="2:14" ht="18" customHeight="1" x14ac:dyDescent="0.2">
      <c r="B306" s="21">
        <v>298</v>
      </c>
      <c r="C306" s="1" t="s">
        <v>2014</v>
      </c>
      <c r="D306" s="5" t="s">
        <v>1643</v>
      </c>
      <c r="E306" s="5" t="s">
        <v>2015</v>
      </c>
      <c r="F306" s="5"/>
      <c r="G306" s="5" t="s">
        <v>501</v>
      </c>
      <c r="H306" s="5" t="s">
        <v>2016</v>
      </c>
      <c r="I306" s="5" t="s">
        <v>2017</v>
      </c>
      <c r="J306" s="5"/>
      <c r="K306" s="21"/>
      <c r="L306" s="24"/>
      <c r="M306" s="5"/>
      <c r="N306" s="5" t="s">
        <v>1087</v>
      </c>
    </row>
    <row r="307" spans="2:14" ht="18" customHeight="1" x14ac:dyDescent="0.2">
      <c r="B307" s="21">
        <v>299</v>
      </c>
      <c r="C307" s="1" t="s">
        <v>2018</v>
      </c>
      <c r="D307" s="5" t="s">
        <v>1643</v>
      </c>
      <c r="E307" s="5" t="s">
        <v>2019</v>
      </c>
      <c r="F307" s="5"/>
      <c r="G307" s="5" t="s">
        <v>501</v>
      </c>
      <c r="H307" s="5" t="s">
        <v>2020</v>
      </c>
      <c r="I307" s="5" t="s">
        <v>2021</v>
      </c>
      <c r="J307" s="5"/>
      <c r="K307" s="21"/>
      <c r="L307" s="24"/>
      <c r="M307" s="5"/>
      <c r="N307" s="5" t="s">
        <v>1087</v>
      </c>
    </row>
    <row r="308" spans="2:14" ht="18" customHeight="1" x14ac:dyDescent="0.2">
      <c r="B308" s="21">
        <v>300</v>
      </c>
      <c r="C308" s="1" t="s">
        <v>2022</v>
      </c>
      <c r="D308" s="5" t="s">
        <v>1643</v>
      </c>
      <c r="E308" s="5" t="s">
        <v>2023</v>
      </c>
      <c r="F308" s="5"/>
      <c r="G308" s="5" t="s">
        <v>501</v>
      </c>
      <c r="H308" s="5" t="s">
        <v>2024</v>
      </c>
      <c r="I308" s="5" t="s">
        <v>2025</v>
      </c>
      <c r="J308" s="5"/>
      <c r="K308" s="21"/>
      <c r="L308" s="24"/>
      <c r="M308" s="5"/>
      <c r="N308" s="5" t="s">
        <v>1087</v>
      </c>
    </row>
    <row r="309" spans="2:14" ht="18" customHeight="1" x14ac:dyDescent="0.2">
      <c r="B309" s="21">
        <v>301</v>
      </c>
      <c r="C309" s="1" t="s">
        <v>2026</v>
      </c>
      <c r="D309" s="5" t="s">
        <v>1643</v>
      </c>
      <c r="E309" s="5" t="s">
        <v>2027</v>
      </c>
      <c r="F309" s="5" t="s">
        <v>2028</v>
      </c>
      <c r="G309" s="5" t="s">
        <v>1046</v>
      </c>
      <c r="H309" s="5" t="s">
        <v>2029</v>
      </c>
      <c r="I309" s="5" t="s">
        <v>2030</v>
      </c>
      <c r="J309" s="5"/>
      <c r="K309" s="21"/>
      <c r="L309" s="24"/>
      <c r="M309" s="5"/>
      <c r="N309" s="5" t="s">
        <v>1087</v>
      </c>
    </row>
    <row r="310" spans="2:14" ht="30" customHeight="1" x14ac:dyDescent="0.2">
      <c r="B310" s="21">
        <v>302</v>
      </c>
      <c r="C310" s="1" t="s">
        <v>2031</v>
      </c>
      <c r="D310" s="5" t="s">
        <v>1643</v>
      </c>
      <c r="E310" s="5" t="s">
        <v>2032</v>
      </c>
      <c r="F310" s="5"/>
      <c r="G310" s="5" t="s">
        <v>501</v>
      </c>
      <c r="H310" s="5" t="s">
        <v>2033</v>
      </c>
      <c r="I310" s="5" t="s">
        <v>2034</v>
      </c>
      <c r="J310" s="5"/>
      <c r="K310" s="21" t="s">
        <v>1086</v>
      </c>
      <c r="L310" s="24"/>
      <c r="M310" s="5"/>
      <c r="N310" s="5" t="s">
        <v>1087</v>
      </c>
    </row>
    <row r="311" spans="2:14" ht="18" customHeight="1" x14ac:dyDescent="0.2">
      <c r="B311" s="21">
        <v>303</v>
      </c>
      <c r="C311" s="1" t="s">
        <v>2035</v>
      </c>
      <c r="D311" s="5" t="s">
        <v>1643</v>
      </c>
      <c r="E311" s="5" t="s">
        <v>2036</v>
      </c>
      <c r="F311" s="5" t="s">
        <v>2037</v>
      </c>
      <c r="G311" s="5" t="s">
        <v>565</v>
      </c>
      <c r="H311" s="5" t="s">
        <v>2038</v>
      </c>
      <c r="I311" s="5" t="s">
        <v>2039</v>
      </c>
      <c r="J311" s="5"/>
      <c r="K311" s="21" t="s">
        <v>1086</v>
      </c>
      <c r="L311" s="24"/>
      <c r="M311" s="5"/>
      <c r="N311" s="5" t="s">
        <v>1087</v>
      </c>
    </row>
    <row r="312" spans="2:14" ht="18" customHeight="1" x14ac:dyDescent="0.2">
      <c r="B312" s="21">
        <v>304</v>
      </c>
      <c r="C312" s="1" t="s">
        <v>2040</v>
      </c>
      <c r="D312" s="5" t="s">
        <v>1643</v>
      </c>
      <c r="E312" s="5" t="s">
        <v>2041</v>
      </c>
      <c r="F312" s="5" t="s">
        <v>406</v>
      </c>
      <c r="G312" s="5" t="s">
        <v>469</v>
      </c>
      <c r="H312" s="5" t="s">
        <v>2042</v>
      </c>
      <c r="I312" s="5" t="s">
        <v>2043</v>
      </c>
      <c r="J312" s="5"/>
      <c r="K312" s="21" t="s">
        <v>1086</v>
      </c>
      <c r="L312" s="24"/>
      <c r="M312" s="5"/>
      <c r="N312" s="5" t="s">
        <v>1087</v>
      </c>
    </row>
    <row r="313" spans="2:14" ht="18" customHeight="1" x14ac:dyDescent="0.2">
      <c r="B313" s="21">
        <v>305</v>
      </c>
      <c r="C313" s="1" t="s">
        <v>2040</v>
      </c>
      <c r="D313" s="5" t="s">
        <v>1643</v>
      </c>
      <c r="E313" s="5" t="s">
        <v>2044</v>
      </c>
      <c r="F313" s="5" t="s">
        <v>1333</v>
      </c>
      <c r="G313" s="5" t="s">
        <v>455</v>
      </c>
      <c r="H313" s="5" t="s">
        <v>2045</v>
      </c>
      <c r="I313" s="5" t="s">
        <v>2046</v>
      </c>
      <c r="J313" s="5"/>
      <c r="K313" s="21"/>
      <c r="L313" s="24"/>
      <c r="M313" s="5"/>
      <c r="N313" s="5" t="s">
        <v>1087</v>
      </c>
    </row>
    <row r="314" spans="2:14" ht="18" customHeight="1" x14ac:dyDescent="0.2">
      <c r="B314" s="21">
        <v>306</v>
      </c>
      <c r="C314" s="1" t="s">
        <v>2047</v>
      </c>
      <c r="D314" s="5" t="s">
        <v>1643</v>
      </c>
      <c r="E314" s="5" t="s">
        <v>2048</v>
      </c>
      <c r="F314" s="5"/>
      <c r="G314" s="5" t="s">
        <v>501</v>
      </c>
      <c r="H314" s="5" t="s">
        <v>2049</v>
      </c>
      <c r="I314" s="5" t="s">
        <v>2050</v>
      </c>
      <c r="J314" s="5"/>
      <c r="K314" s="21"/>
      <c r="L314" s="24"/>
      <c r="M314" s="5"/>
      <c r="N314" s="5" t="s">
        <v>1087</v>
      </c>
    </row>
    <row r="315" spans="2:14" ht="18" customHeight="1" x14ac:dyDescent="0.2">
      <c r="B315" s="21">
        <v>307</v>
      </c>
      <c r="C315" s="1" t="s">
        <v>2051</v>
      </c>
      <c r="D315" s="5" t="s">
        <v>1643</v>
      </c>
      <c r="E315" s="5" t="s">
        <v>2052</v>
      </c>
      <c r="F315" s="5"/>
      <c r="G315" s="5" t="s">
        <v>501</v>
      </c>
      <c r="H315" s="5" t="s">
        <v>2053</v>
      </c>
      <c r="I315" s="5" t="s">
        <v>2054</v>
      </c>
      <c r="J315" s="5"/>
      <c r="K315" s="21"/>
      <c r="L315" s="24"/>
      <c r="M315" s="5"/>
      <c r="N315" s="5" t="s">
        <v>1087</v>
      </c>
    </row>
    <row r="316" spans="2:14" ht="18" customHeight="1" x14ac:dyDescent="0.2">
      <c r="B316" s="21">
        <v>308</v>
      </c>
      <c r="C316" s="1" t="s">
        <v>2055</v>
      </c>
      <c r="D316" s="5" t="s">
        <v>1643</v>
      </c>
      <c r="E316" s="5" t="s">
        <v>2056</v>
      </c>
      <c r="F316" s="5"/>
      <c r="G316" s="5" t="s">
        <v>501</v>
      </c>
      <c r="H316" s="5" t="s">
        <v>2057</v>
      </c>
      <c r="I316" s="5" t="s">
        <v>2058</v>
      </c>
      <c r="J316" s="5"/>
      <c r="K316" s="21"/>
      <c r="L316" s="24"/>
      <c r="M316" s="5"/>
      <c r="N316" s="5" t="s">
        <v>1087</v>
      </c>
    </row>
    <row r="317" spans="2:14" ht="18" customHeight="1" x14ac:dyDescent="0.2">
      <c r="B317" s="21">
        <v>309</v>
      </c>
      <c r="C317" s="1" t="s">
        <v>2059</v>
      </c>
      <c r="D317" s="5" t="s">
        <v>1643</v>
      </c>
      <c r="E317" s="5" t="s">
        <v>2060</v>
      </c>
      <c r="F317" s="5" t="s">
        <v>2061</v>
      </c>
      <c r="G317" s="5" t="s">
        <v>469</v>
      </c>
      <c r="H317" s="5" t="s">
        <v>2062</v>
      </c>
      <c r="I317" s="5" t="s">
        <v>2063</v>
      </c>
      <c r="J317" s="5"/>
      <c r="K317" s="21" t="s">
        <v>1086</v>
      </c>
      <c r="L317" s="24"/>
      <c r="M317" s="5"/>
      <c r="N317" s="5" t="s">
        <v>1087</v>
      </c>
    </row>
    <row r="318" spans="2:14" ht="18" customHeight="1" x14ac:dyDescent="0.2">
      <c r="B318" s="21">
        <v>310</v>
      </c>
      <c r="C318" s="1" t="s">
        <v>2059</v>
      </c>
      <c r="D318" s="5" t="s">
        <v>1643</v>
      </c>
      <c r="E318" s="5" t="s">
        <v>2064</v>
      </c>
      <c r="F318" s="5" t="s">
        <v>2065</v>
      </c>
      <c r="G318" s="5" t="s">
        <v>1046</v>
      </c>
      <c r="H318" s="5" t="s">
        <v>2066</v>
      </c>
      <c r="I318" s="5" t="s">
        <v>2067</v>
      </c>
      <c r="J318" s="5"/>
      <c r="K318" s="21"/>
      <c r="L318" s="24"/>
      <c r="M318" s="5"/>
      <c r="N318" s="5" t="s">
        <v>1087</v>
      </c>
    </row>
    <row r="319" spans="2:14" ht="18" customHeight="1" x14ac:dyDescent="0.2">
      <c r="B319" s="21">
        <v>311</v>
      </c>
      <c r="C319" s="1" t="s">
        <v>2068</v>
      </c>
      <c r="D319" s="5" t="s">
        <v>1643</v>
      </c>
      <c r="E319" s="5" t="s">
        <v>2069</v>
      </c>
      <c r="F319" s="5" t="s">
        <v>406</v>
      </c>
      <c r="G319" s="5" t="s">
        <v>469</v>
      </c>
      <c r="H319" s="5" t="s">
        <v>2070</v>
      </c>
      <c r="I319" s="5" t="s">
        <v>2071</v>
      </c>
      <c r="J319" s="5"/>
      <c r="K319" s="21"/>
      <c r="L319" s="24"/>
      <c r="M319" s="5"/>
      <c r="N319" s="5" t="s">
        <v>1087</v>
      </c>
    </row>
    <row r="320" spans="2:14" ht="18" customHeight="1" x14ac:dyDescent="0.2">
      <c r="B320" s="21">
        <v>312</v>
      </c>
      <c r="C320" s="1" t="s">
        <v>2068</v>
      </c>
      <c r="D320" s="5" t="s">
        <v>1643</v>
      </c>
      <c r="E320" s="5" t="s">
        <v>2072</v>
      </c>
      <c r="F320" s="5" t="s">
        <v>474</v>
      </c>
      <c r="G320" s="5" t="s">
        <v>475</v>
      </c>
      <c r="H320" s="5" t="s">
        <v>2073</v>
      </c>
      <c r="I320" s="5" t="s">
        <v>2074</v>
      </c>
      <c r="J320" s="5"/>
      <c r="K320" s="21"/>
      <c r="L320" s="24"/>
      <c r="M320" s="5"/>
      <c r="N320" s="5" t="s">
        <v>1087</v>
      </c>
    </row>
    <row r="321" spans="2:14" ht="18" customHeight="1" x14ac:dyDescent="0.2">
      <c r="B321" s="21">
        <v>313</v>
      </c>
      <c r="C321" s="1" t="s">
        <v>2068</v>
      </c>
      <c r="D321" s="5" t="s">
        <v>1643</v>
      </c>
      <c r="E321" s="5" t="s">
        <v>2075</v>
      </c>
      <c r="F321" s="5" t="s">
        <v>2076</v>
      </c>
      <c r="G321" s="5" t="s">
        <v>481</v>
      </c>
      <c r="H321" s="5" t="s">
        <v>2077</v>
      </c>
      <c r="I321" s="5" t="s">
        <v>2078</v>
      </c>
      <c r="J321" s="5"/>
      <c r="K321" s="21" t="s">
        <v>1086</v>
      </c>
      <c r="L321" s="24"/>
      <c r="M321" s="5"/>
      <c r="N321" s="5" t="s">
        <v>1087</v>
      </c>
    </row>
    <row r="322" spans="2:14" ht="18" customHeight="1" x14ac:dyDescent="0.2">
      <c r="B322" s="21">
        <v>314</v>
      </c>
      <c r="C322" s="1" t="s">
        <v>2068</v>
      </c>
      <c r="D322" s="5" t="s">
        <v>1643</v>
      </c>
      <c r="E322" s="5" t="s">
        <v>2079</v>
      </c>
      <c r="F322" s="5"/>
      <c r="G322" s="5" t="s">
        <v>501</v>
      </c>
      <c r="H322" s="5" t="s">
        <v>2080</v>
      </c>
      <c r="I322" s="5" t="s">
        <v>2081</v>
      </c>
      <c r="J322" s="5"/>
      <c r="K322" s="21" t="s">
        <v>1086</v>
      </c>
      <c r="L322" s="24"/>
      <c r="M322" s="5"/>
      <c r="N322" s="5" t="s">
        <v>1087</v>
      </c>
    </row>
    <row r="323" spans="2:14" ht="18" customHeight="1" x14ac:dyDescent="0.2">
      <c r="B323" s="21">
        <v>315</v>
      </c>
      <c r="C323" s="1" t="s">
        <v>2068</v>
      </c>
      <c r="D323" s="5" t="s">
        <v>1643</v>
      </c>
      <c r="E323" s="5" t="s">
        <v>2082</v>
      </c>
      <c r="F323" s="5"/>
      <c r="G323" s="5" t="s">
        <v>501</v>
      </c>
      <c r="H323" s="5" t="s">
        <v>2083</v>
      </c>
      <c r="I323" s="5" t="s">
        <v>2084</v>
      </c>
      <c r="J323" s="5"/>
      <c r="K323" s="21" t="s">
        <v>1086</v>
      </c>
      <c r="L323" s="24"/>
      <c r="M323" s="5"/>
      <c r="N323" s="5" t="s">
        <v>1087</v>
      </c>
    </row>
    <row r="324" spans="2:14" ht="18" customHeight="1" x14ac:dyDescent="0.2">
      <c r="B324" s="21">
        <v>316</v>
      </c>
      <c r="C324" s="1" t="s">
        <v>2085</v>
      </c>
      <c r="D324" s="5" t="s">
        <v>1643</v>
      </c>
      <c r="E324" s="5" t="s">
        <v>2086</v>
      </c>
      <c r="F324" s="5"/>
      <c r="G324" s="5" t="s">
        <v>501</v>
      </c>
      <c r="H324" s="5" t="s">
        <v>2087</v>
      </c>
      <c r="I324" s="5" t="s">
        <v>2088</v>
      </c>
      <c r="J324" s="5"/>
      <c r="K324" s="21" t="s">
        <v>1086</v>
      </c>
      <c r="L324" s="24"/>
      <c r="M324" s="5"/>
      <c r="N324" s="5" t="s">
        <v>1087</v>
      </c>
    </row>
    <row r="325" spans="2:14" ht="18" customHeight="1" x14ac:dyDescent="0.2">
      <c r="B325" s="21">
        <v>317</v>
      </c>
      <c r="C325" s="1" t="s">
        <v>2085</v>
      </c>
      <c r="D325" s="5" t="s">
        <v>1643</v>
      </c>
      <c r="E325" s="5" t="s">
        <v>2089</v>
      </c>
      <c r="F325" s="5"/>
      <c r="G325" s="5" t="s">
        <v>501</v>
      </c>
      <c r="H325" s="5" t="s">
        <v>2090</v>
      </c>
      <c r="I325" s="5" t="s">
        <v>2091</v>
      </c>
      <c r="J325" s="5"/>
      <c r="K325" s="21" t="s">
        <v>1086</v>
      </c>
      <c r="L325" s="24"/>
      <c r="M325" s="5"/>
      <c r="N325" s="5" t="s">
        <v>1087</v>
      </c>
    </row>
    <row r="326" spans="2:14" ht="18" customHeight="1" x14ac:dyDescent="0.2">
      <c r="B326" s="21">
        <v>318</v>
      </c>
      <c r="C326" s="1" t="s">
        <v>2085</v>
      </c>
      <c r="D326" s="5" t="s">
        <v>1643</v>
      </c>
      <c r="E326" s="5" t="s">
        <v>2092</v>
      </c>
      <c r="F326" s="5"/>
      <c r="G326" s="5" t="s">
        <v>501</v>
      </c>
      <c r="H326" s="5" t="s">
        <v>2093</v>
      </c>
      <c r="I326" s="5" t="s">
        <v>2094</v>
      </c>
      <c r="J326" s="5"/>
      <c r="K326" s="21" t="s">
        <v>1086</v>
      </c>
      <c r="L326" s="24"/>
      <c r="M326" s="5"/>
      <c r="N326" s="5" t="s">
        <v>1087</v>
      </c>
    </row>
    <row r="327" spans="2:14" ht="18" customHeight="1" x14ac:dyDescent="0.2">
      <c r="B327" s="21">
        <v>319</v>
      </c>
      <c r="C327" s="1" t="s">
        <v>2095</v>
      </c>
      <c r="D327" s="5" t="s">
        <v>1643</v>
      </c>
      <c r="E327" s="5" t="s">
        <v>2096</v>
      </c>
      <c r="F327" s="5"/>
      <c r="G327" s="5" t="s">
        <v>501</v>
      </c>
      <c r="H327" s="5" t="s">
        <v>2097</v>
      </c>
      <c r="I327" s="5"/>
      <c r="J327" s="5"/>
      <c r="K327" s="21"/>
      <c r="L327" s="24"/>
      <c r="M327" s="5"/>
      <c r="N327" s="5" t="s">
        <v>1087</v>
      </c>
    </row>
    <row r="328" spans="2:14" ht="18" customHeight="1" x14ac:dyDescent="0.2">
      <c r="B328" s="21">
        <v>320</v>
      </c>
      <c r="C328" s="1" t="s">
        <v>2095</v>
      </c>
      <c r="D328" s="5" t="s">
        <v>1643</v>
      </c>
      <c r="E328" s="5" t="s">
        <v>2098</v>
      </c>
      <c r="F328" s="5"/>
      <c r="G328" s="5" t="s">
        <v>501</v>
      </c>
      <c r="H328" s="5" t="s">
        <v>2099</v>
      </c>
      <c r="I328" s="5" t="s">
        <v>2100</v>
      </c>
      <c r="J328" s="5"/>
      <c r="K328" s="21"/>
      <c r="L328" s="24"/>
      <c r="M328" s="5"/>
      <c r="N328" s="5" t="s">
        <v>1087</v>
      </c>
    </row>
    <row r="329" spans="2:14" ht="18" customHeight="1" x14ac:dyDescent="0.2">
      <c r="B329" s="21">
        <v>321</v>
      </c>
      <c r="C329" s="1" t="s">
        <v>2095</v>
      </c>
      <c r="D329" s="5" t="s">
        <v>1643</v>
      </c>
      <c r="E329" s="5" t="s">
        <v>2101</v>
      </c>
      <c r="F329" s="5"/>
      <c r="G329" s="5" t="s">
        <v>501</v>
      </c>
      <c r="H329" s="5" t="s">
        <v>2102</v>
      </c>
      <c r="I329" s="5" t="s">
        <v>2103</v>
      </c>
      <c r="J329" s="5"/>
      <c r="K329" s="21"/>
      <c r="L329" s="24"/>
      <c r="M329" s="5"/>
      <c r="N329" s="5" t="s">
        <v>1087</v>
      </c>
    </row>
    <row r="330" spans="2:14" ht="18" customHeight="1" x14ac:dyDescent="0.2">
      <c r="B330" s="21">
        <v>322</v>
      </c>
      <c r="C330" s="1" t="s">
        <v>2104</v>
      </c>
      <c r="D330" s="5" t="s">
        <v>1643</v>
      </c>
      <c r="E330" s="5" t="s">
        <v>2105</v>
      </c>
      <c r="F330" s="5"/>
      <c r="G330" s="5" t="s">
        <v>501</v>
      </c>
      <c r="H330" s="5" t="s">
        <v>2106</v>
      </c>
      <c r="I330" s="5" t="s">
        <v>2107</v>
      </c>
      <c r="J330" s="5"/>
      <c r="K330" s="21" t="s">
        <v>1086</v>
      </c>
      <c r="L330" s="24"/>
      <c r="M330" s="5"/>
      <c r="N330" s="5" t="s">
        <v>1087</v>
      </c>
    </row>
    <row r="331" spans="2:14" ht="30" customHeight="1" x14ac:dyDescent="0.2">
      <c r="B331" s="21">
        <v>323</v>
      </c>
      <c r="C331" s="1" t="s">
        <v>2108</v>
      </c>
      <c r="D331" s="5" t="s">
        <v>1643</v>
      </c>
      <c r="E331" s="5" t="s">
        <v>2109</v>
      </c>
      <c r="F331" s="5" t="s">
        <v>2110</v>
      </c>
      <c r="G331" s="5" t="s">
        <v>1046</v>
      </c>
      <c r="H331" s="5" t="s">
        <v>2111</v>
      </c>
      <c r="I331" s="5" t="s">
        <v>2112</v>
      </c>
      <c r="J331" s="5"/>
      <c r="K331" s="21" t="s">
        <v>1086</v>
      </c>
      <c r="L331" s="24"/>
      <c r="M331" s="5"/>
      <c r="N331" s="5" t="s">
        <v>1087</v>
      </c>
    </row>
    <row r="332" spans="2:14" ht="18" customHeight="1" x14ac:dyDescent="0.2">
      <c r="B332" s="21">
        <v>324</v>
      </c>
      <c r="C332" s="1" t="s">
        <v>2108</v>
      </c>
      <c r="D332" s="5" t="s">
        <v>1643</v>
      </c>
      <c r="E332" s="5" t="s">
        <v>2113</v>
      </c>
      <c r="F332" s="5" t="s">
        <v>2114</v>
      </c>
      <c r="G332" s="5" t="s">
        <v>455</v>
      </c>
      <c r="H332" s="5"/>
      <c r="I332" s="5" t="s">
        <v>2115</v>
      </c>
      <c r="J332" s="5"/>
      <c r="K332" s="21"/>
      <c r="L332" s="24"/>
      <c r="M332" s="5"/>
      <c r="N332" s="5" t="s">
        <v>1087</v>
      </c>
    </row>
    <row r="333" spans="2:14" ht="18" customHeight="1" x14ac:dyDescent="0.2">
      <c r="B333" s="21">
        <v>325</v>
      </c>
      <c r="C333" s="1" t="s">
        <v>2108</v>
      </c>
      <c r="D333" s="5" t="s">
        <v>1643</v>
      </c>
      <c r="E333" s="5" t="s">
        <v>2116</v>
      </c>
      <c r="F333" s="5" t="s">
        <v>2117</v>
      </c>
      <c r="G333" s="5" t="s">
        <v>497</v>
      </c>
      <c r="H333" s="5" t="s">
        <v>2118</v>
      </c>
      <c r="I333" s="5" t="s">
        <v>2119</v>
      </c>
      <c r="J333" s="5"/>
      <c r="K333" s="21"/>
      <c r="L333" s="24"/>
      <c r="M333" s="5"/>
      <c r="N333" s="5" t="s">
        <v>1087</v>
      </c>
    </row>
    <row r="334" spans="2:14" ht="18" customHeight="1" x14ac:dyDescent="0.2">
      <c r="B334" s="21">
        <v>326</v>
      </c>
      <c r="C334" s="1" t="s">
        <v>2108</v>
      </c>
      <c r="D334" s="5" t="s">
        <v>1643</v>
      </c>
      <c r="E334" s="5" t="s">
        <v>2120</v>
      </c>
      <c r="F334" s="5" t="s">
        <v>2121</v>
      </c>
      <c r="G334" s="5" t="s">
        <v>497</v>
      </c>
      <c r="H334" s="5" t="s">
        <v>2122</v>
      </c>
      <c r="I334" s="5" t="s">
        <v>2123</v>
      </c>
      <c r="J334" s="5"/>
      <c r="K334" s="21"/>
      <c r="L334" s="24"/>
      <c r="M334" s="5"/>
      <c r="N334" s="5" t="s">
        <v>1087</v>
      </c>
    </row>
    <row r="335" spans="2:14" ht="18" customHeight="1" x14ac:dyDescent="0.2">
      <c r="B335" s="21">
        <v>327</v>
      </c>
      <c r="C335" s="1" t="s">
        <v>2124</v>
      </c>
      <c r="D335" s="5" t="s">
        <v>1643</v>
      </c>
      <c r="E335" s="5" t="s">
        <v>2125</v>
      </c>
      <c r="F335" s="5" t="s">
        <v>1151</v>
      </c>
      <c r="G335" s="5" t="s">
        <v>565</v>
      </c>
      <c r="H335" s="5" t="s">
        <v>2126</v>
      </c>
      <c r="I335" s="5" t="s">
        <v>2127</v>
      </c>
      <c r="J335" s="5"/>
      <c r="K335" s="21"/>
      <c r="L335" s="24"/>
      <c r="M335" s="5"/>
      <c r="N335" s="5" t="s">
        <v>1087</v>
      </c>
    </row>
    <row r="336" spans="2:14" ht="18" customHeight="1" x14ac:dyDescent="0.2">
      <c r="B336" s="21">
        <v>328</v>
      </c>
      <c r="C336" s="1" t="s">
        <v>2124</v>
      </c>
      <c r="D336" s="5" t="s">
        <v>1643</v>
      </c>
      <c r="E336" s="5" t="s">
        <v>2128</v>
      </c>
      <c r="F336" s="5" t="s">
        <v>2129</v>
      </c>
      <c r="G336" s="5" t="s">
        <v>455</v>
      </c>
      <c r="H336" s="5" t="s">
        <v>2130</v>
      </c>
      <c r="I336" s="5" t="s">
        <v>2131</v>
      </c>
      <c r="J336" s="5"/>
      <c r="K336" s="21"/>
      <c r="L336" s="24"/>
      <c r="M336" s="5"/>
      <c r="N336" s="5" t="s">
        <v>1087</v>
      </c>
    </row>
    <row r="337" spans="2:14" ht="18" customHeight="1" x14ac:dyDescent="0.2">
      <c r="B337" s="21">
        <v>329</v>
      </c>
      <c r="C337" s="1" t="s">
        <v>2132</v>
      </c>
      <c r="D337" s="5" t="s">
        <v>1643</v>
      </c>
      <c r="E337" s="5" t="s">
        <v>2133</v>
      </c>
      <c r="F337" s="5"/>
      <c r="G337" s="5" t="s">
        <v>501</v>
      </c>
      <c r="H337" s="5" t="s">
        <v>2134</v>
      </c>
      <c r="I337" s="5" t="s">
        <v>2135</v>
      </c>
      <c r="J337" s="5"/>
      <c r="K337" s="21" t="s">
        <v>1086</v>
      </c>
      <c r="L337" s="24"/>
      <c r="M337" s="5"/>
      <c r="N337" s="5" t="s">
        <v>1087</v>
      </c>
    </row>
    <row r="338" spans="2:14" ht="18" customHeight="1" x14ac:dyDescent="0.2">
      <c r="B338" s="21">
        <v>330</v>
      </c>
      <c r="C338" s="1" t="s">
        <v>2136</v>
      </c>
      <c r="D338" s="5" t="s">
        <v>1643</v>
      </c>
      <c r="E338" s="5" t="s">
        <v>2137</v>
      </c>
      <c r="F338" s="5"/>
      <c r="G338" s="5" t="s">
        <v>501</v>
      </c>
      <c r="H338" s="5" t="s">
        <v>2138</v>
      </c>
      <c r="I338" s="5" t="s">
        <v>2139</v>
      </c>
      <c r="J338" s="5"/>
      <c r="K338" s="21"/>
      <c r="L338" s="24"/>
      <c r="M338" s="5"/>
      <c r="N338" s="5" t="s">
        <v>1087</v>
      </c>
    </row>
    <row r="339" spans="2:14" ht="18" customHeight="1" x14ac:dyDescent="0.2">
      <c r="B339" s="21">
        <v>331</v>
      </c>
      <c r="C339" s="1" t="s">
        <v>2140</v>
      </c>
      <c r="D339" s="5" t="s">
        <v>1643</v>
      </c>
      <c r="E339" s="5" t="s">
        <v>2141</v>
      </c>
      <c r="F339" s="5" t="s">
        <v>1156</v>
      </c>
      <c r="G339" s="5" t="s">
        <v>565</v>
      </c>
      <c r="H339" s="5" t="s">
        <v>2142</v>
      </c>
      <c r="I339" s="5" t="s">
        <v>2143</v>
      </c>
      <c r="J339" s="5"/>
      <c r="K339" s="21"/>
      <c r="L339" s="24"/>
      <c r="M339" s="5"/>
      <c r="N339" s="5" t="s">
        <v>1087</v>
      </c>
    </row>
    <row r="340" spans="2:14" ht="18" customHeight="1" x14ac:dyDescent="0.2">
      <c r="B340" s="21">
        <v>332</v>
      </c>
      <c r="C340" s="1" t="s">
        <v>2140</v>
      </c>
      <c r="D340" s="5" t="s">
        <v>1643</v>
      </c>
      <c r="E340" s="5" t="s">
        <v>2144</v>
      </c>
      <c r="F340" s="5" t="s">
        <v>489</v>
      </c>
      <c r="G340" s="5" t="s">
        <v>455</v>
      </c>
      <c r="H340" s="5"/>
      <c r="I340" s="5" t="s">
        <v>2145</v>
      </c>
      <c r="J340" s="5"/>
      <c r="K340" s="21"/>
      <c r="L340" s="24"/>
      <c r="M340" s="5"/>
      <c r="N340" s="5" t="s">
        <v>1087</v>
      </c>
    </row>
    <row r="341" spans="2:14" ht="18" customHeight="1" x14ac:dyDescent="0.2">
      <c r="B341" s="21">
        <v>333</v>
      </c>
      <c r="C341" s="1" t="s">
        <v>2146</v>
      </c>
      <c r="D341" s="5" t="s">
        <v>1643</v>
      </c>
      <c r="E341" s="5" t="s">
        <v>2147</v>
      </c>
      <c r="F341" s="5"/>
      <c r="G341" s="5" t="s">
        <v>501</v>
      </c>
      <c r="H341" s="5" t="s">
        <v>2148</v>
      </c>
      <c r="I341" s="5" t="s">
        <v>2149</v>
      </c>
      <c r="J341" s="5"/>
      <c r="K341" s="21"/>
      <c r="L341" s="24"/>
      <c r="M341" s="5"/>
      <c r="N341" s="5" t="s">
        <v>1087</v>
      </c>
    </row>
    <row r="342" spans="2:14" ht="18" customHeight="1" x14ac:dyDescent="0.2">
      <c r="B342" s="21">
        <v>334</v>
      </c>
      <c r="C342" s="1" t="s">
        <v>2150</v>
      </c>
      <c r="D342" s="5" t="s">
        <v>1643</v>
      </c>
      <c r="E342" s="5" t="s">
        <v>2151</v>
      </c>
      <c r="F342" s="5"/>
      <c r="G342" s="5" t="s">
        <v>501</v>
      </c>
      <c r="H342" s="5" t="s">
        <v>2152</v>
      </c>
      <c r="I342" s="5" t="s">
        <v>2153</v>
      </c>
      <c r="J342" s="5"/>
      <c r="K342" s="21"/>
      <c r="L342" s="24"/>
      <c r="M342" s="5"/>
      <c r="N342" s="5" t="s">
        <v>1087</v>
      </c>
    </row>
    <row r="343" spans="2:14" ht="18" customHeight="1" x14ac:dyDescent="0.2">
      <c r="B343" s="21">
        <v>335</v>
      </c>
      <c r="C343" s="1" t="s">
        <v>2154</v>
      </c>
      <c r="D343" s="5" t="s">
        <v>1643</v>
      </c>
      <c r="E343" s="5" t="s">
        <v>2155</v>
      </c>
      <c r="F343" s="5" t="s">
        <v>2156</v>
      </c>
      <c r="G343" s="5" t="s">
        <v>565</v>
      </c>
      <c r="H343" s="5" t="s">
        <v>2157</v>
      </c>
      <c r="I343" s="5" t="s">
        <v>2158</v>
      </c>
      <c r="J343" s="5"/>
      <c r="K343" s="21" t="s">
        <v>1086</v>
      </c>
      <c r="L343" s="24"/>
      <c r="M343" s="5"/>
      <c r="N343" s="5" t="s">
        <v>1087</v>
      </c>
    </row>
    <row r="344" spans="2:14" ht="18" customHeight="1" x14ac:dyDescent="0.2">
      <c r="B344" s="21">
        <v>336</v>
      </c>
      <c r="C344" s="1" t="s">
        <v>2154</v>
      </c>
      <c r="D344" s="5" t="s">
        <v>1643</v>
      </c>
      <c r="E344" s="5" t="s">
        <v>2159</v>
      </c>
      <c r="F344" s="5" t="s">
        <v>1333</v>
      </c>
      <c r="G344" s="5" t="s">
        <v>455</v>
      </c>
      <c r="H344" s="5" t="s">
        <v>2160</v>
      </c>
      <c r="I344" s="5" t="s">
        <v>2161</v>
      </c>
      <c r="J344" s="5"/>
      <c r="K344" s="21"/>
      <c r="L344" s="24"/>
      <c r="M344" s="5"/>
      <c r="N344" s="5" t="s">
        <v>1087</v>
      </c>
    </row>
    <row r="345" spans="2:14" ht="18" customHeight="1" x14ac:dyDescent="0.2">
      <c r="B345" s="21">
        <v>337</v>
      </c>
      <c r="C345" s="1" t="s">
        <v>2162</v>
      </c>
      <c r="D345" s="5" t="s">
        <v>1643</v>
      </c>
      <c r="E345" s="5" t="s">
        <v>2163</v>
      </c>
      <c r="F345" s="5"/>
      <c r="G345" s="5" t="s">
        <v>501</v>
      </c>
      <c r="H345" s="5" t="s">
        <v>2164</v>
      </c>
      <c r="I345" s="5" t="s">
        <v>2165</v>
      </c>
      <c r="J345" s="5"/>
      <c r="K345" s="21"/>
      <c r="L345" s="24"/>
      <c r="M345" s="5"/>
      <c r="N345" s="5" t="s">
        <v>1087</v>
      </c>
    </row>
    <row r="346" spans="2:14" ht="18" customHeight="1" x14ac:dyDescent="0.2">
      <c r="B346" s="21">
        <v>338</v>
      </c>
      <c r="C346" s="1" t="s">
        <v>2162</v>
      </c>
      <c r="D346" s="5" t="s">
        <v>1643</v>
      </c>
      <c r="E346" s="5" t="s">
        <v>2166</v>
      </c>
      <c r="F346" s="5"/>
      <c r="G346" s="5" t="s">
        <v>501</v>
      </c>
      <c r="H346" s="5" t="s">
        <v>2167</v>
      </c>
      <c r="I346" s="5" t="s">
        <v>2168</v>
      </c>
      <c r="J346" s="5"/>
      <c r="K346" s="21"/>
      <c r="L346" s="24"/>
      <c r="M346" s="5"/>
      <c r="N346" s="5" t="s">
        <v>1087</v>
      </c>
    </row>
    <row r="347" spans="2:14" ht="18" customHeight="1" x14ac:dyDescent="0.2">
      <c r="B347" s="21">
        <v>339</v>
      </c>
      <c r="C347" s="1" t="s">
        <v>2162</v>
      </c>
      <c r="D347" s="5" t="s">
        <v>1643</v>
      </c>
      <c r="E347" s="5" t="s">
        <v>2169</v>
      </c>
      <c r="F347" s="5"/>
      <c r="G347" s="5" t="s">
        <v>501</v>
      </c>
      <c r="H347" s="5" t="s">
        <v>2170</v>
      </c>
      <c r="I347" s="5" t="s">
        <v>2171</v>
      </c>
      <c r="J347" s="5"/>
      <c r="K347" s="21" t="s">
        <v>1086</v>
      </c>
      <c r="L347" s="24"/>
      <c r="M347" s="5"/>
      <c r="N347" s="5" t="s">
        <v>1087</v>
      </c>
    </row>
    <row r="348" spans="2:14" ht="18" customHeight="1" x14ac:dyDescent="0.2">
      <c r="B348" s="21">
        <v>340</v>
      </c>
      <c r="C348" s="1" t="s">
        <v>2172</v>
      </c>
      <c r="D348" s="5" t="s">
        <v>1643</v>
      </c>
      <c r="E348" s="5" t="s">
        <v>2173</v>
      </c>
      <c r="F348" s="5"/>
      <c r="G348" s="5" t="s">
        <v>501</v>
      </c>
      <c r="H348" s="5" t="s">
        <v>2174</v>
      </c>
      <c r="I348" s="5" t="s">
        <v>2175</v>
      </c>
      <c r="J348" s="5"/>
      <c r="K348" s="21"/>
      <c r="L348" s="24"/>
      <c r="M348" s="5"/>
      <c r="N348" s="5" t="s">
        <v>1087</v>
      </c>
    </row>
    <row r="349" spans="2:14" ht="18" customHeight="1" x14ac:dyDescent="0.2">
      <c r="B349" s="21">
        <v>341</v>
      </c>
      <c r="C349" s="1" t="s">
        <v>2172</v>
      </c>
      <c r="D349" s="5" t="s">
        <v>1643</v>
      </c>
      <c r="E349" s="5" t="s">
        <v>2176</v>
      </c>
      <c r="F349" s="5"/>
      <c r="G349" s="5" t="s">
        <v>501</v>
      </c>
      <c r="H349" s="5"/>
      <c r="I349" s="5"/>
      <c r="J349" s="5"/>
      <c r="K349" s="21"/>
      <c r="L349" s="24"/>
      <c r="M349" s="5"/>
      <c r="N349" s="5" t="s">
        <v>1087</v>
      </c>
    </row>
    <row r="350" spans="2:14" ht="18" customHeight="1" x14ac:dyDescent="0.2">
      <c r="B350" s="21">
        <v>342</v>
      </c>
      <c r="C350" s="1" t="s">
        <v>2177</v>
      </c>
      <c r="D350" s="5" t="s">
        <v>1643</v>
      </c>
      <c r="E350" s="5" t="s">
        <v>2178</v>
      </c>
      <c r="F350" s="5" t="s">
        <v>2061</v>
      </c>
      <c r="G350" s="5" t="s">
        <v>469</v>
      </c>
      <c r="H350" s="5" t="s">
        <v>2179</v>
      </c>
      <c r="I350" s="5" t="s">
        <v>2180</v>
      </c>
      <c r="J350" s="5"/>
      <c r="K350" s="21"/>
      <c r="L350" s="24"/>
      <c r="M350" s="5"/>
      <c r="N350" s="5" t="s">
        <v>1087</v>
      </c>
    </row>
    <row r="351" spans="2:14" ht="18" customHeight="1" x14ac:dyDescent="0.2">
      <c r="B351" s="21">
        <v>343</v>
      </c>
      <c r="C351" s="1" t="s">
        <v>2181</v>
      </c>
      <c r="D351" s="5" t="s">
        <v>1643</v>
      </c>
      <c r="E351" s="5" t="s">
        <v>2182</v>
      </c>
      <c r="F351" s="5" t="s">
        <v>1156</v>
      </c>
      <c r="G351" s="5" t="s">
        <v>565</v>
      </c>
      <c r="H351" s="5" t="s">
        <v>2183</v>
      </c>
      <c r="I351" s="5" t="s">
        <v>2184</v>
      </c>
      <c r="J351" s="5"/>
      <c r="K351" s="21"/>
      <c r="L351" s="24"/>
      <c r="M351" s="5"/>
      <c r="N351" s="5" t="s">
        <v>1087</v>
      </c>
    </row>
    <row r="352" spans="2:14" ht="18" customHeight="1" x14ac:dyDescent="0.2">
      <c r="B352" s="21">
        <v>344</v>
      </c>
      <c r="C352" s="1" t="s">
        <v>2181</v>
      </c>
      <c r="D352" s="5" t="s">
        <v>1643</v>
      </c>
      <c r="E352" s="5" t="s">
        <v>2185</v>
      </c>
      <c r="F352" s="5" t="s">
        <v>2186</v>
      </c>
      <c r="G352" s="5" t="s">
        <v>565</v>
      </c>
      <c r="H352" s="5" t="s">
        <v>2187</v>
      </c>
      <c r="I352" s="5" t="s">
        <v>2188</v>
      </c>
      <c r="J352" s="5"/>
      <c r="K352" s="21"/>
      <c r="L352" s="24"/>
      <c r="M352" s="5"/>
      <c r="N352" s="5" t="s">
        <v>1087</v>
      </c>
    </row>
    <row r="353" spans="2:14" ht="18" customHeight="1" x14ac:dyDescent="0.2">
      <c r="B353" s="21">
        <v>345</v>
      </c>
      <c r="C353" s="1" t="s">
        <v>2189</v>
      </c>
      <c r="D353" s="5" t="s">
        <v>1643</v>
      </c>
      <c r="E353" s="5" t="s">
        <v>2190</v>
      </c>
      <c r="F353" s="5"/>
      <c r="G353" s="5" t="s">
        <v>501</v>
      </c>
      <c r="H353" s="5" t="s">
        <v>2191</v>
      </c>
      <c r="I353" s="5" t="s">
        <v>2192</v>
      </c>
      <c r="J353" s="5"/>
      <c r="K353" s="21"/>
      <c r="L353" s="24"/>
      <c r="M353" s="5"/>
      <c r="N353" s="5" t="s">
        <v>1087</v>
      </c>
    </row>
    <row r="354" spans="2:14" ht="18" customHeight="1" x14ac:dyDescent="0.2">
      <c r="B354" s="21">
        <v>346</v>
      </c>
      <c r="C354" s="1" t="s">
        <v>2193</v>
      </c>
      <c r="D354" s="5" t="s">
        <v>1643</v>
      </c>
      <c r="E354" s="5" t="s">
        <v>2194</v>
      </c>
      <c r="F354" s="5"/>
      <c r="G354" s="5" t="s">
        <v>501</v>
      </c>
      <c r="H354" s="5" t="s">
        <v>2195</v>
      </c>
      <c r="I354" s="5" t="s">
        <v>2196</v>
      </c>
      <c r="J354" s="5"/>
      <c r="K354" s="21"/>
      <c r="L354" s="24"/>
      <c r="M354" s="5"/>
      <c r="N354" s="5" t="s">
        <v>1087</v>
      </c>
    </row>
    <row r="355" spans="2:14" ht="18" customHeight="1" x14ac:dyDescent="0.2">
      <c r="B355" s="21">
        <v>347</v>
      </c>
      <c r="C355" s="1" t="s">
        <v>2197</v>
      </c>
      <c r="D355" s="5" t="s">
        <v>1643</v>
      </c>
      <c r="E355" s="5" t="s">
        <v>2198</v>
      </c>
      <c r="F355" s="5"/>
      <c r="G355" s="5" t="s">
        <v>501</v>
      </c>
      <c r="H355" s="5" t="s">
        <v>2199</v>
      </c>
      <c r="I355" s="5" t="s">
        <v>2200</v>
      </c>
      <c r="J355" s="5"/>
      <c r="K355" s="21"/>
      <c r="L355" s="24"/>
      <c r="M355" s="5"/>
      <c r="N355" s="5" t="s">
        <v>1087</v>
      </c>
    </row>
    <row r="356" spans="2:14" ht="18" customHeight="1" x14ac:dyDescent="0.2">
      <c r="B356" s="21">
        <v>348</v>
      </c>
      <c r="C356" s="1" t="s">
        <v>2201</v>
      </c>
      <c r="D356" s="5" t="s">
        <v>1643</v>
      </c>
      <c r="E356" s="5" t="s">
        <v>2202</v>
      </c>
      <c r="F356" s="5"/>
      <c r="G356" s="5" t="s">
        <v>501</v>
      </c>
      <c r="H356" s="5" t="s">
        <v>2203</v>
      </c>
      <c r="I356" s="5" t="s">
        <v>2204</v>
      </c>
      <c r="J356" s="5"/>
      <c r="K356" s="21"/>
      <c r="L356" s="24"/>
      <c r="M356" s="5"/>
      <c r="N356" s="5" t="s">
        <v>1087</v>
      </c>
    </row>
    <row r="357" spans="2:14" ht="18" customHeight="1" x14ac:dyDescent="0.2">
      <c r="B357" s="21">
        <v>349</v>
      </c>
      <c r="C357" s="1" t="s">
        <v>2205</v>
      </c>
      <c r="D357" s="5" t="s">
        <v>1643</v>
      </c>
      <c r="E357" s="5" t="s">
        <v>2206</v>
      </c>
      <c r="F357" s="5"/>
      <c r="G357" s="5" t="s">
        <v>501</v>
      </c>
      <c r="H357" s="5" t="s">
        <v>2207</v>
      </c>
      <c r="I357" s="5" t="s">
        <v>2208</v>
      </c>
      <c r="J357" s="5"/>
      <c r="K357" s="21" t="s">
        <v>1086</v>
      </c>
      <c r="L357" s="24"/>
      <c r="M357" s="5"/>
      <c r="N357" s="5" t="s">
        <v>1087</v>
      </c>
    </row>
    <row r="358" spans="2:14" ht="30" customHeight="1" x14ac:dyDescent="0.2">
      <c r="B358" s="21">
        <v>350</v>
      </c>
      <c r="C358" s="1" t="s">
        <v>2209</v>
      </c>
      <c r="D358" s="5" t="s">
        <v>1643</v>
      </c>
      <c r="E358" s="5" t="s">
        <v>2210</v>
      </c>
      <c r="F358" s="5"/>
      <c r="G358" s="5" t="s">
        <v>501</v>
      </c>
      <c r="H358" s="5" t="s">
        <v>2211</v>
      </c>
      <c r="I358" s="5" t="s">
        <v>2212</v>
      </c>
      <c r="J358" s="5"/>
      <c r="K358" s="21" t="s">
        <v>1086</v>
      </c>
      <c r="L358" s="24"/>
      <c r="M358" s="5"/>
      <c r="N358" s="5" t="s">
        <v>1087</v>
      </c>
    </row>
    <row r="359" spans="2:14" ht="18" customHeight="1" x14ac:dyDescent="0.2">
      <c r="B359" s="21">
        <v>351</v>
      </c>
      <c r="C359" s="1" t="s">
        <v>2213</v>
      </c>
      <c r="D359" s="5" t="s">
        <v>1643</v>
      </c>
      <c r="E359" s="5" t="s">
        <v>2214</v>
      </c>
      <c r="F359" s="5" t="s">
        <v>1151</v>
      </c>
      <c r="G359" s="5" t="s">
        <v>565</v>
      </c>
      <c r="H359" s="5" t="s">
        <v>2215</v>
      </c>
      <c r="I359" s="5" t="s">
        <v>2216</v>
      </c>
      <c r="J359" s="5"/>
      <c r="K359" s="21"/>
      <c r="L359" s="24"/>
      <c r="M359" s="5"/>
      <c r="N359" s="5" t="s">
        <v>1087</v>
      </c>
    </row>
    <row r="360" spans="2:14" ht="18" customHeight="1" x14ac:dyDescent="0.2">
      <c r="B360" s="21">
        <v>352</v>
      </c>
      <c r="C360" s="1" t="s">
        <v>2217</v>
      </c>
      <c r="D360" s="5" t="s">
        <v>1643</v>
      </c>
      <c r="E360" s="5" t="s">
        <v>2218</v>
      </c>
      <c r="F360" s="5" t="s">
        <v>399</v>
      </c>
      <c r="G360" s="5" t="s">
        <v>1046</v>
      </c>
      <c r="H360" s="5" t="s">
        <v>2219</v>
      </c>
      <c r="I360" s="5" t="s">
        <v>2220</v>
      </c>
      <c r="J360" s="5"/>
      <c r="K360" s="21"/>
      <c r="L360" s="24"/>
      <c r="M360" s="5"/>
      <c r="N360" s="5" t="s">
        <v>1087</v>
      </c>
    </row>
    <row r="361" spans="2:14" ht="18" customHeight="1" x14ac:dyDescent="0.2">
      <c r="B361" s="21">
        <v>353</v>
      </c>
      <c r="C361" s="1" t="s">
        <v>2217</v>
      </c>
      <c r="D361" s="5" t="s">
        <v>1643</v>
      </c>
      <c r="E361" s="5" t="s">
        <v>2221</v>
      </c>
      <c r="F361" s="5" t="s">
        <v>2222</v>
      </c>
      <c r="G361" s="5" t="s">
        <v>565</v>
      </c>
      <c r="H361" s="5" t="s">
        <v>2223</v>
      </c>
      <c r="I361" s="5" t="s">
        <v>2224</v>
      </c>
      <c r="J361" s="5"/>
      <c r="K361" s="21"/>
      <c r="L361" s="24"/>
      <c r="M361" s="5"/>
      <c r="N361" s="5" t="s">
        <v>1087</v>
      </c>
    </row>
    <row r="362" spans="2:14" ht="18" customHeight="1" x14ac:dyDescent="0.2">
      <c r="B362" s="21">
        <v>354</v>
      </c>
      <c r="C362" s="1" t="s">
        <v>2225</v>
      </c>
      <c r="D362" s="5" t="s">
        <v>1670</v>
      </c>
      <c r="E362" s="5" t="s">
        <v>2226</v>
      </c>
      <c r="F362" s="5" t="s">
        <v>406</v>
      </c>
      <c r="G362" s="5" t="s">
        <v>469</v>
      </c>
      <c r="H362" s="5" t="s">
        <v>2227</v>
      </c>
      <c r="I362" s="5" t="s">
        <v>2228</v>
      </c>
      <c r="J362" s="5"/>
      <c r="K362" s="21"/>
      <c r="L362" s="24"/>
      <c r="M362" s="5"/>
      <c r="N362" s="5" t="s">
        <v>1087</v>
      </c>
    </row>
    <row r="363" spans="2:14" ht="18" customHeight="1" x14ac:dyDescent="0.2">
      <c r="B363" s="21">
        <v>355</v>
      </c>
      <c r="C363" s="1" t="s">
        <v>2225</v>
      </c>
      <c r="D363" s="5" t="s">
        <v>1670</v>
      </c>
      <c r="E363" s="5" t="s">
        <v>2229</v>
      </c>
      <c r="F363" s="5" t="s">
        <v>2230</v>
      </c>
      <c r="G363" s="5" t="s">
        <v>481</v>
      </c>
      <c r="H363" s="5" t="s">
        <v>2231</v>
      </c>
      <c r="I363" s="5" t="s">
        <v>2232</v>
      </c>
      <c r="J363" s="5"/>
      <c r="K363" s="21"/>
      <c r="L363" s="24"/>
      <c r="M363" s="5"/>
      <c r="N363" s="5" t="s">
        <v>1087</v>
      </c>
    </row>
    <row r="364" spans="2:14" ht="18" customHeight="1" x14ac:dyDescent="0.2">
      <c r="B364" s="21">
        <v>356</v>
      </c>
      <c r="C364" s="1" t="s">
        <v>2225</v>
      </c>
      <c r="D364" s="5" t="s">
        <v>1670</v>
      </c>
      <c r="E364" s="5" t="s">
        <v>2233</v>
      </c>
      <c r="F364" s="5"/>
      <c r="G364" s="5" t="s">
        <v>501</v>
      </c>
      <c r="H364" s="5"/>
      <c r="I364" s="5"/>
      <c r="J364" s="5"/>
      <c r="K364" s="21"/>
      <c r="L364" s="24"/>
      <c r="M364" s="5"/>
      <c r="N364" s="5" t="s">
        <v>1087</v>
      </c>
    </row>
    <row r="365" spans="2:14" ht="18" customHeight="1" x14ac:dyDescent="0.2">
      <c r="B365" s="21">
        <v>357</v>
      </c>
      <c r="C365" s="1" t="s">
        <v>2225</v>
      </c>
      <c r="D365" s="5" t="s">
        <v>1670</v>
      </c>
      <c r="E365" s="5" t="s">
        <v>2234</v>
      </c>
      <c r="F365" s="5"/>
      <c r="G365" s="5" t="s">
        <v>501</v>
      </c>
      <c r="H365" s="5"/>
      <c r="I365" s="5"/>
      <c r="J365" s="5"/>
      <c r="K365" s="21"/>
      <c r="L365" s="24"/>
      <c r="M365" s="5"/>
      <c r="N365" s="5" t="s">
        <v>1087</v>
      </c>
    </row>
    <row r="366" spans="2:14" ht="18" customHeight="1" x14ac:dyDescent="0.2">
      <c r="B366" s="21">
        <v>358</v>
      </c>
      <c r="C366" s="1" t="s">
        <v>2235</v>
      </c>
      <c r="D366" s="5" t="s">
        <v>1670</v>
      </c>
      <c r="E366" s="5" t="s">
        <v>2236</v>
      </c>
      <c r="F366" s="5"/>
      <c r="G366" s="5" t="s">
        <v>501</v>
      </c>
      <c r="H366" s="5" t="s">
        <v>2237</v>
      </c>
      <c r="I366" s="5" t="s">
        <v>2238</v>
      </c>
      <c r="J366" s="5"/>
      <c r="K366" s="21"/>
      <c r="L366" s="24"/>
      <c r="M366" s="5"/>
      <c r="N366" s="5" t="s">
        <v>1087</v>
      </c>
    </row>
    <row r="367" spans="2:14" ht="18" customHeight="1" x14ac:dyDescent="0.2">
      <c r="B367" s="21">
        <v>359</v>
      </c>
      <c r="C367" s="1" t="s">
        <v>2239</v>
      </c>
      <c r="D367" s="5" t="s">
        <v>1670</v>
      </c>
      <c r="E367" s="5" t="s">
        <v>2240</v>
      </c>
      <c r="F367" s="5"/>
      <c r="G367" s="5" t="s">
        <v>501</v>
      </c>
      <c r="H367" s="5" t="s">
        <v>2241</v>
      </c>
      <c r="I367" s="5" t="s">
        <v>2242</v>
      </c>
      <c r="J367" s="5"/>
      <c r="K367" s="21" t="s">
        <v>1086</v>
      </c>
      <c r="L367" s="24"/>
      <c r="M367" s="5"/>
      <c r="N367" s="5" t="s">
        <v>1087</v>
      </c>
    </row>
    <row r="368" spans="2:14" ht="18" customHeight="1" x14ac:dyDescent="0.2">
      <c r="B368" s="21">
        <v>360</v>
      </c>
      <c r="C368" s="1" t="s">
        <v>2243</v>
      </c>
      <c r="D368" s="5" t="s">
        <v>1670</v>
      </c>
      <c r="E368" s="5" t="s">
        <v>2244</v>
      </c>
      <c r="F368" s="5" t="s">
        <v>2245</v>
      </c>
      <c r="G368" s="5" t="s">
        <v>565</v>
      </c>
      <c r="H368" s="5" t="s">
        <v>2246</v>
      </c>
      <c r="I368" s="5" t="s">
        <v>2247</v>
      </c>
      <c r="J368" s="5"/>
      <c r="K368" s="21"/>
      <c r="L368" s="24"/>
      <c r="M368" s="5"/>
      <c r="N368" s="5" t="s">
        <v>1087</v>
      </c>
    </row>
    <row r="369" spans="2:14" ht="18" customHeight="1" x14ac:dyDescent="0.2">
      <c r="B369" s="21">
        <v>361</v>
      </c>
      <c r="C369" s="1" t="s">
        <v>2248</v>
      </c>
      <c r="D369" s="5" t="s">
        <v>1670</v>
      </c>
      <c r="E369" s="5" t="s">
        <v>2249</v>
      </c>
      <c r="F369" s="5" t="s">
        <v>474</v>
      </c>
      <c r="G369" s="5" t="s">
        <v>475</v>
      </c>
      <c r="H369" s="5" t="s">
        <v>2250</v>
      </c>
      <c r="I369" s="5" t="s">
        <v>2251</v>
      </c>
      <c r="J369" s="5"/>
      <c r="K369" s="21"/>
      <c r="L369" s="24"/>
      <c r="M369" s="5"/>
      <c r="N369" s="5" t="s">
        <v>1087</v>
      </c>
    </row>
    <row r="370" spans="2:14" ht="18" customHeight="1" x14ac:dyDescent="0.2">
      <c r="B370" s="21">
        <v>362</v>
      </c>
      <c r="C370" s="1" t="s">
        <v>2248</v>
      </c>
      <c r="D370" s="5" t="s">
        <v>1670</v>
      </c>
      <c r="E370" s="5" t="s">
        <v>2252</v>
      </c>
      <c r="F370" s="5" t="s">
        <v>2253</v>
      </c>
      <c r="G370" s="5" t="s">
        <v>475</v>
      </c>
      <c r="H370" s="5" t="s">
        <v>2254</v>
      </c>
      <c r="I370" s="5" t="s">
        <v>2255</v>
      </c>
      <c r="J370" s="5"/>
      <c r="K370" s="21"/>
      <c r="L370" s="24"/>
      <c r="M370" s="5"/>
      <c r="N370" s="5" t="s">
        <v>1087</v>
      </c>
    </row>
    <row r="371" spans="2:14" ht="18" customHeight="1" x14ac:dyDescent="0.2">
      <c r="B371" s="21">
        <v>363</v>
      </c>
      <c r="C371" s="1" t="s">
        <v>2248</v>
      </c>
      <c r="D371" s="5" t="s">
        <v>1670</v>
      </c>
      <c r="E371" s="5" t="s">
        <v>2256</v>
      </c>
      <c r="F371" s="5" t="s">
        <v>2257</v>
      </c>
      <c r="G371" s="5" t="s">
        <v>565</v>
      </c>
      <c r="H371" s="5" t="s">
        <v>2258</v>
      </c>
      <c r="I371" s="5" t="s">
        <v>2259</v>
      </c>
      <c r="J371" s="5"/>
      <c r="K371" s="21"/>
      <c r="L371" s="24"/>
      <c r="M371" s="5"/>
      <c r="N371" s="5" t="s">
        <v>1087</v>
      </c>
    </row>
    <row r="372" spans="2:14" ht="18" customHeight="1" x14ac:dyDescent="0.2">
      <c r="B372" s="21">
        <v>364</v>
      </c>
      <c r="C372" s="1" t="s">
        <v>2248</v>
      </c>
      <c r="D372" s="5" t="s">
        <v>1670</v>
      </c>
      <c r="E372" s="5" t="s">
        <v>2260</v>
      </c>
      <c r="F372" s="5" t="s">
        <v>2261</v>
      </c>
      <c r="G372" s="5" t="s">
        <v>481</v>
      </c>
      <c r="H372" s="5" t="s">
        <v>2262</v>
      </c>
      <c r="I372" s="5" t="s">
        <v>2263</v>
      </c>
      <c r="J372" s="5"/>
      <c r="K372" s="21"/>
      <c r="L372" s="24"/>
      <c r="M372" s="5"/>
      <c r="N372" s="5" t="s">
        <v>1087</v>
      </c>
    </row>
    <row r="373" spans="2:14" ht="30" customHeight="1" x14ac:dyDescent="0.2">
      <c r="B373" s="21">
        <v>365</v>
      </c>
      <c r="C373" s="1" t="s">
        <v>2248</v>
      </c>
      <c r="D373" s="5" t="s">
        <v>1670</v>
      </c>
      <c r="E373" s="5" t="s">
        <v>2264</v>
      </c>
      <c r="F373" s="5" t="s">
        <v>2265</v>
      </c>
      <c r="G373" s="5" t="s">
        <v>481</v>
      </c>
      <c r="H373" s="5" t="s">
        <v>2266</v>
      </c>
      <c r="I373" s="5" t="s">
        <v>2267</v>
      </c>
      <c r="J373" s="5"/>
      <c r="K373" s="21"/>
      <c r="L373" s="24"/>
      <c r="M373" s="5"/>
      <c r="N373" s="5" t="s">
        <v>1087</v>
      </c>
    </row>
    <row r="374" spans="2:14" ht="18" customHeight="1" x14ac:dyDescent="0.2">
      <c r="B374" s="21">
        <v>366</v>
      </c>
      <c r="C374" s="1" t="s">
        <v>2268</v>
      </c>
      <c r="D374" s="5" t="s">
        <v>1670</v>
      </c>
      <c r="E374" s="5" t="s">
        <v>2269</v>
      </c>
      <c r="F374" s="5" t="s">
        <v>2270</v>
      </c>
      <c r="G374" s="5" t="s">
        <v>565</v>
      </c>
      <c r="H374" s="5" t="s">
        <v>2271</v>
      </c>
      <c r="I374" s="5" t="s">
        <v>2272</v>
      </c>
      <c r="J374" s="5"/>
      <c r="K374" s="21"/>
      <c r="L374" s="24"/>
      <c r="M374" s="5"/>
      <c r="N374" s="5" t="s">
        <v>1087</v>
      </c>
    </row>
    <row r="375" spans="2:14" ht="18" customHeight="1" x14ac:dyDescent="0.2">
      <c r="B375" s="21">
        <v>367</v>
      </c>
      <c r="C375" s="1" t="s">
        <v>2268</v>
      </c>
      <c r="D375" s="5" t="s">
        <v>1670</v>
      </c>
      <c r="E375" s="5" t="s">
        <v>2273</v>
      </c>
      <c r="F375" s="5" t="s">
        <v>2274</v>
      </c>
      <c r="G375" s="5" t="s">
        <v>481</v>
      </c>
      <c r="H375" s="5" t="s">
        <v>2275</v>
      </c>
      <c r="I375" s="5" t="s">
        <v>2276</v>
      </c>
      <c r="J375" s="5"/>
      <c r="K375" s="21"/>
      <c r="L375" s="24"/>
      <c r="M375" s="5"/>
      <c r="N375" s="5" t="s">
        <v>1087</v>
      </c>
    </row>
    <row r="376" spans="2:14" ht="18" customHeight="1" x14ac:dyDescent="0.2">
      <c r="B376" s="21">
        <v>368</v>
      </c>
      <c r="C376" s="1" t="s">
        <v>2268</v>
      </c>
      <c r="D376" s="5" t="s">
        <v>1670</v>
      </c>
      <c r="E376" s="5" t="s">
        <v>1203</v>
      </c>
      <c r="F376" s="5" t="s">
        <v>1179</v>
      </c>
      <c r="G376" s="5" t="s">
        <v>455</v>
      </c>
      <c r="H376" s="5" t="s">
        <v>2277</v>
      </c>
      <c r="I376" s="5" t="s">
        <v>2278</v>
      </c>
      <c r="J376" s="5"/>
      <c r="K376" s="21"/>
      <c r="L376" s="24"/>
      <c r="M376" s="5"/>
      <c r="N376" s="5" t="s">
        <v>1087</v>
      </c>
    </row>
    <row r="377" spans="2:14" ht="18" customHeight="1" x14ac:dyDescent="0.2">
      <c r="B377" s="21">
        <v>369</v>
      </c>
      <c r="C377" s="1" t="s">
        <v>2268</v>
      </c>
      <c r="D377" s="5" t="s">
        <v>1670</v>
      </c>
      <c r="E377" s="5" t="s">
        <v>2279</v>
      </c>
      <c r="F377" s="5"/>
      <c r="G377" s="5" t="s">
        <v>501</v>
      </c>
      <c r="H377" s="5"/>
      <c r="I377" s="5"/>
      <c r="J377" s="5"/>
      <c r="K377" s="21"/>
      <c r="L377" s="24"/>
      <c r="M377" s="5"/>
      <c r="N377" s="5" t="s">
        <v>1087</v>
      </c>
    </row>
    <row r="378" spans="2:14" ht="30" customHeight="1" x14ac:dyDescent="0.2">
      <c r="B378" s="21">
        <v>370</v>
      </c>
      <c r="C378" s="1" t="s">
        <v>2280</v>
      </c>
      <c r="D378" s="5" t="s">
        <v>1670</v>
      </c>
      <c r="E378" s="5" t="s">
        <v>2281</v>
      </c>
      <c r="F378" s="5" t="s">
        <v>406</v>
      </c>
      <c r="G378" s="5" t="s">
        <v>469</v>
      </c>
      <c r="H378" s="5" t="s">
        <v>2282</v>
      </c>
      <c r="I378" s="5" t="s">
        <v>2283</v>
      </c>
      <c r="J378" s="5"/>
      <c r="K378" s="21"/>
      <c r="L378" s="24"/>
      <c r="M378" s="5"/>
      <c r="N378" s="5" t="s">
        <v>1087</v>
      </c>
    </row>
    <row r="379" spans="2:14" ht="30" customHeight="1" x14ac:dyDescent="0.2">
      <c r="B379" s="21">
        <v>371</v>
      </c>
      <c r="C379" s="1" t="s">
        <v>2280</v>
      </c>
      <c r="D379" s="5" t="s">
        <v>1670</v>
      </c>
      <c r="E379" s="5" t="s">
        <v>2284</v>
      </c>
      <c r="F379" s="5" t="s">
        <v>474</v>
      </c>
      <c r="G379" s="5" t="s">
        <v>475</v>
      </c>
      <c r="H379" s="5" t="s">
        <v>2285</v>
      </c>
      <c r="I379" s="5" t="s">
        <v>2286</v>
      </c>
      <c r="J379" s="5"/>
      <c r="K379" s="21"/>
      <c r="L379" s="24"/>
      <c r="M379" s="5"/>
      <c r="N379" s="5" t="s">
        <v>1087</v>
      </c>
    </row>
    <row r="380" spans="2:14" ht="18" customHeight="1" x14ac:dyDescent="0.2">
      <c r="B380" s="21">
        <v>372</v>
      </c>
      <c r="C380" s="1" t="s">
        <v>2280</v>
      </c>
      <c r="D380" s="5" t="s">
        <v>1670</v>
      </c>
      <c r="E380" s="5" t="s">
        <v>2287</v>
      </c>
      <c r="F380" s="5" t="s">
        <v>2288</v>
      </c>
      <c r="G380" s="5" t="s">
        <v>565</v>
      </c>
      <c r="H380" s="5" t="s">
        <v>2289</v>
      </c>
      <c r="I380" s="5" t="s">
        <v>2290</v>
      </c>
      <c r="J380" s="5"/>
      <c r="K380" s="21"/>
      <c r="L380" s="24"/>
      <c r="M380" s="5"/>
      <c r="N380" s="5" t="s">
        <v>1087</v>
      </c>
    </row>
    <row r="381" spans="2:14" ht="30" customHeight="1" x14ac:dyDescent="0.2">
      <c r="B381" s="21">
        <v>373</v>
      </c>
      <c r="C381" s="1" t="s">
        <v>2280</v>
      </c>
      <c r="D381" s="5" t="s">
        <v>1670</v>
      </c>
      <c r="E381" s="5" t="s">
        <v>2291</v>
      </c>
      <c r="F381" s="5" t="s">
        <v>2292</v>
      </c>
      <c r="G381" s="5" t="s">
        <v>481</v>
      </c>
      <c r="H381" s="5" t="s">
        <v>2293</v>
      </c>
      <c r="I381" s="5" t="s">
        <v>2294</v>
      </c>
      <c r="J381" s="5"/>
      <c r="K381" s="21" t="s">
        <v>1086</v>
      </c>
      <c r="L381" s="24"/>
      <c r="M381" s="5"/>
      <c r="N381" s="5" t="s">
        <v>1087</v>
      </c>
    </row>
    <row r="382" spans="2:14" ht="18" customHeight="1" x14ac:dyDescent="0.2">
      <c r="B382" s="21">
        <v>374</v>
      </c>
      <c r="C382" s="1" t="s">
        <v>2295</v>
      </c>
      <c r="D382" s="5" t="s">
        <v>1670</v>
      </c>
      <c r="E382" s="5" t="s">
        <v>2296</v>
      </c>
      <c r="F382" s="5" t="s">
        <v>406</v>
      </c>
      <c r="G382" s="5" t="s">
        <v>469</v>
      </c>
      <c r="H382" s="5" t="s">
        <v>2297</v>
      </c>
      <c r="I382" s="5" t="s">
        <v>2298</v>
      </c>
      <c r="J382" s="5"/>
      <c r="K382" s="21"/>
      <c r="L382" s="24"/>
      <c r="M382" s="5"/>
      <c r="N382" s="5" t="s">
        <v>1087</v>
      </c>
    </row>
    <row r="383" spans="2:14" ht="18" customHeight="1" x14ac:dyDescent="0.2">
      <c r="B383" s="21">
        <v>375</v>
      </c>
      <c r="C383" s="1" t="s">
        <v>2299</v>
      </c>
      <c r="D383" s="5" t="s">
        <v>1670</v>
      </c>
      <c r="E383" s="5" t="s">
        <v>2300</v>
      </c>
      <c r="F383" s="5" t="s">
        <v>406</v>
      </c>
      <c r="G383" s="5" t="s">
        <v>469</v>
      </c>
      <c r="H383" s="5" t="s">
        <v>2301</v>
      </c>
      <c r="I383" s="5" t="s">
        <v>2302</v>
      </c>
      <c r="J383" s="5"/>
      <c r="K383" s="21"/>
      <c r="L383" s="24"/>
      <c r="M383" s="5"/>
      <c r="N383" s="5" t="s">
        <v>1087</v>
      </c>
    </row>
    <row r="384" spans="2:14" ht="18" customHeight="1" x14ac:dyDescent="0.2">
      <c r="B384" s="21">
        <v>376</v>
      </c>
      <c r="C384" s="1" t="s">
        <v>2299</v>
      </c>
      <c r="D384" s="5" t="s">
        <v>1670</v>
      </c>
      <c r="E384" s="5" t="s">
        <v>2303</v>
      </c>
      <c r="F384" s="5" t="s">
        <v>2304</v>
      </c>
      <c r="G384" s="5" t="s">
        <v>565</v>
      </c>
      <c r="H384" s="5" t="s">
        <v>2305</v>
      </c>
      <c r="I384" s="5" t="s">
        <v>2306</v>
      </c>
      <c r="J384" s="5"/>
      <c r="K384" s="21"/>
      <c r="L384" s="24"/>
      <c r="M384" s="5"/>
      <c r="N384" s="5" t="s">
        <v>1087</v>
      </c>
    </row>
    <row r="385" spans="2:14" ht="18" customHeight="1" x14ac:dyDescent="0.2">
      <c r="B385" s="21">
        <v>377</v>
      </c>
      <c r="C385" s="1" t="s">
        <v>2299</v>
      </c>
      <c r="D385" s="5" t="s">
        <v>1670</v>
      </c>
      <c r="E385" s="5" t="s">
        <v>2307</v>
      </c>
      <c r="F385" s="5" t="s">
        <v>2308</v>
      </c>
      <c r="G385" s="5" t="s">
        <v>481</v>
      </c>
      <c r="H385" s="5" t="s">
        <v>2309</v>
      </c>
      <c r="I385" s="5" t="s">
        <v>2310</v>
      </c>
      <c r="J385" s="5"/>
      <c r="K385" s="21"/>
      <c r="L385" s="24"/>
      <c r="M385" s="5"/>
      <c r="N385" s="5" t="s">
        <v>1087</v>
      </c>
    </row>
    <row r="386" spans="2:14" ht="18" customHeight="1" x14ac:dyDescent="0.2">
      <c r="B386" s="21">
        <v>378</v>
      </c>
      <c r="C386" s="1" t="s">
        <v>2299</v>
      </c>
      <c r="D386" s="5" t="s">
        <v>1670</v>
      </c>
      <c r="E386" s="5" t="s">
        <v>2311</v>
      </c>
      <c r="F386" s="5" t="s">
        <v>2312</v>
      </c>
      <c r="G386" s="5" t="s">
        <v>481</v>
      </c>
      <c r="H386" s="5" t="s">
        <v>2313</v>
      </c>
      <c r="I386" s="5" t="s">
        <v>2314</v>
      </c>
      <c r="J386" s="5"/>
      <c r="K386" s="21" t="s">
        <v>1086</v>
      </c>
      <c r="L386" s="24"/>
      <c r="M386" s="5"/>
      <c r="N386" s="5" t="s">
        <v>1087</v>
      </c>
    </row>
    <row r="387" spans="2:14" ht="18" customHeight="1" x14ac:dyDescent="0.2">
      <c r="B387" s="21">
        <v>379</v>
      </c>
      <c r="C387" s="1" t="s">
        <v>2315</v>
      </c>
      <c r="D387" s="5" t="s">
        <v>1670</v>
      </c>
      <c r="E387" s="5" t="s">
        <v>2316</v>
      </c>
      <c r="F387" s="5" t="s">
        <v>406</v>
      </c>
      <c r="G387" s="5" t="s">
        <v>469</v>
      </c>
      <c r="H387" s="5" t="s">
        <v>2317</v>
      </c>
      <c r="I387" s="5" t="s">
        <v>2318</v>
      </c>
      <c r="J387" s="5"/>
      <c r="K387" s="21"/>
      <c r="L387" s="24"/>
      <c r="M387" s="5"/>
      <c r="N387" s="5" t="s">
        <v>1087</v>
      </c>
    </row>
    <row r="388" spans="2:14" ht="18" customHeight="1" x14ac:dyDescent="0.2">
      <c r="B388" s="21">
        <v>380</v>
      </c>
      <c r="C388" s="1" t="s">
        <v>2315</v>
      </c>
      <c r="D388" s="5" t="s">
        <v>1670</v>
      </c>
      <c r="E388" s="5" t="s">
        <v>2319</v>
      </c>
      <c r="F388" s="5" t="s">
        <v>2320</v>
      </c>
      <c r="G388" s="5" t="s">
        <v>565</v>
      </c>
      <c r="H388" s="5" t="s">
        <v>2321</v>
      </c>
      <c r="I388" s="5" t="s">
        <v>2322</v>
      </c>
      <c r="J388" s="5"/>
      <c r="K388" s="21" t="s">
        <v>1086</v>
      </c>
      <c r="L388" s="24"/>
      <c r="M388" s="5"/>
      <c r="N388" s="5" t="s">
        <v>1087</v>
      </c>
    </row>
    <row r="389" spans="2:14" ht="18" customHeight="1" x14ac:dyDescent="0.2">
      <c r="B389" s="21">
        <v>381</v>
      </c>
      <c r="C389" s="1" t="s">
        <v>2323</v>
      </c>
      <c r="D389" s="5" t="s">
        <v>1670</v>
      </c>
      <c r="E389" s="5" t="s">
        <v>2324</v>
      </c>
      <c r="F389" s="5" t="s">
        <v>2325</v>
      </c>
      <c r="G389" s="5" t="s">
        <v>565</v>
      </c>
      <c r="H389" s="5" t="s">
        <v>2326</v>
      </c>
      <c r="I389" s="5" t="s">
        <v>2327</v>
      </c>
      <c r="J389" s="5"/>
      <c r="K389" s="21"/>
      <c r="L389" s="24"/>
      <c r="M389" s="5"/>
      <c r="N389" s="5" t="s">
        <v>1087</v>
      </c>
    </row>
    <row r="390" spans="2:14" ht="30" customHeight="1" x14ac:dyDescent="0.2">
      <c r="B390" s="21">
        <v>382</v>
      </c>
      <c r="C390" s="1" t="s">
        <v>2328</v>
      </c>
      <c r="D390" s="5" t="s">
        <v>1670</v>
      </c>
      <c r="E390" s="5" t="s">
        <v>2329</v>
      </c>
      <c r="F390" s="5" t="s">
        <v>2330</v>
      </c>
      <c r="G390" s="5" t="s">
        <v>1046</v>
      </c>
      <c r="H390" s="5" t="s">
        <v>2331</v>
      </c>
      <c r="I390" s="5" t="s">
        <v>2332</v>
      </c>
      <c r="J390" s="5"/>
      <c r="K390" s="21" t="s">
        <v>1086</v>
      </c>
      <c r="L390" s="24"/>
      <c r="M390" s="5"/>
      <c r="N390" s="5" t="s">
        <v>1087</v>
      </c>
    </row>
    <row r="391" spans="2:14" ht="18" customHeight="1" x14ac:dyDescent="0.2">
      <c r="B391" s="21">
        <v>383</v>
      </c>
      <c r="C391" s="1" t="s">
        <v>2333</v>
      </c>
      <c r="D391" s="5" t="s">
        <v>1670</v>
      </c>
      <c r="E391" s="5" t="s">
        <v>2334</v>
      </c>
      <c r="F391" s="5" t="s">
        <v>406</v>
      </c>
      <c r="G391" s="5" t="s">
        <v>469</v>
      </c>
      <c r="H391" s="5" t="s">
        <v>2335</v>
      </c>
      <c r="I391" s="5" t="s">
        <v>2336</v>
      </c>
      <c r="J391" s="5"/>
      <c r="K391" s="21"/>
      <c r="L391" s="24"/>
      <c r="M391" s="5"/>
      <c r="N391" s="5" t="s">
        <v>1087</v>
      </c>
    </row>
    <row r="392" spans="2:14" ht="18" customHeight="1" x14ac:dyDescent="0.2">
      <c r="B392" s="21">
        <v>384</v>
      </c>
      <c r="C392" s="1" t="s">
        <v>2333</v>
      </c>
      <c r="D392" s="5" t="s">
        <v>1670</v>
      </c>
      <c r="E392" s="5" t="s">
        <v>2337</v>
      </c>
      <c r="F392" s="5" t="s">
        <v>2338</v>
      </c>
      <c r="G392" s="5" t="s">
        <v>475</v>
      </c>
      <c r="H392" s="5" t="s">
        <v>2339</v>
      </c>
      <c r="I392" s="5" t="s">
        <v>2340</v>
      </c>
      <c r="J392" s="5"/>
      <c r="K392" s="21"/>
      <c r="L392" s="24"/>
      <c r="M392" s="5"/>
      <c r="N392" s="5" t="s">
        <v>1087</v>
      </c>
    </row>
    <row r="393" spans="2:14" ht="18" customHeight="1" x14ac:dyDescent="0.2">
      <c r="B393" s="21">
        <v>385</v>
      </c>
      <c r="C393" s="1" t="s">
        <v>2333</v>
      </c>
      <c r="D393" s="5" t="s">
        <v>1670</v>
      </c>
      <c r="E393" s="5" t="s">
        <v>2341</v>
      </c>
      <c r="F393" s="5" t="s">
        <v>2342</v>
      </c>
      <c r="G393" s="5" t="s">
        <v>565</v>
      </c>
      <c r="H393" s="5" t="s">
        <v>2343</v>
      </c>
      <c r="I393" s="5" t="s">
        <v>2344</v>
      </c>
      <c r="J393" s="5"/>
      <c r="K393" s="21"/>
      <c r="L393" s="24"/>
      <c r="M393" s="5"/>
      <c r="N393" s="5" t="s">
        <v>1087</v>
      </c>
    </row>
    <row r="394" spans="2:14" ht="18" customHeight="1" x14ac:dyDescent="0.2">
      <c r="B394" s="21">
        <v>386</v>
      </c>
      <c r="C394" s="1" t="s">
        <v>2333</v>
      </c>
      <c r="D394" s="5" t="s">
        <v>1670</v>
      </c>
      <c r="E394" s="5" t="s">
        <v>2345</v>
      </c>
      <c r="F394" s="5" t="s">
        <v>2346</v>
      </c>
      <c r="G394" s="5" t="s">
        <v>481</v>
      </c>
      <c r="H394" s="5" t="s">
        <v>2347</v>
      </c>
      <c r="I394" s="5" t="s">
        <v>2348</v>
      </c>
      <c r="J394" s="5"/>
      <c r="K394" s="21"/>
      <c r="L394" s="24"/>
      <c r="M394" s="5"/>
      <c r="N394" s="5" t="s">
        <v>1087</v>
      </c>
    </row>
    <row r="395" spans="2:14" ht="18" customHeight="1" x14ac:dyDescent="0.2">
      <c r="B395" s="21">
        <v>387</v>
      </c>
      <c r="C395" s="1" t="s">
        <v>2349</v>
      </c>
      <c r="D395" s="5" t="s">
        <v>1670</v>
      </c>
      <c r="E395" s="5" t="s">
        <v>2350</v>
      </c>
      <c r="F395" s="5" t="s">
        <v>406</v>
      </c>
      <c r="G395" s="5" t="s">
        <v>469</v>
      </c>
      <c r="H395" s="5" t="s">
        <v>2351</v>
      </c>
      <c r="I395" s="5" t="s">
        <v>2352</v>
      </c>
      <c r="J395" s="5"/>
      <c r="K395" s="21"/>
      <c r="L395" s="24"/>
      <c r="M395" s="5"/>
      <c r="N395" s="5" t="s">
        <v>1087</v>
      </c>
    </row>
    <row r="396" spans="2:14" ht="18" customHeight="1" x14ac:dyDescent="0.2">
      <c r="B396" s="21">
        <v>388</v>
      </c>
      <c r="C396" s="1" t="s">
        <v>2349</v>
      </c>
      <c r="D396" s="5" t="s">
        <v>1670</v>
      </c>
      <c r="E396" s="5" t="s">
        <v>2353</v>
      </c>
      <c r="F396" s="5" t="s">
        <v>2354</v>
      </c>
      <c r="G396" s="5" t="s">
        <v>565</v>
      </c>
      <c r="H396" s="5" t="s">
        <v>2355</v>
      </c>
      <c r="I396" s="5" t="s">
        <v>2356</v>
      </c>
      <c r="J396" s="5"/>
      <c r="K396" s="21"/>
      <c r="L396" s="24"/>
      <c r="M396" s="5"/>
      <c r="N396" s="5" t="s">
        <v>1087</v>
      </c>
    </row>
    <row r="397" spans="2:14" ht="18" customHeight="1" x14ac:dyDescent="0.2">
      <c r="B397" s="21">
        <v>389</v>
      </c>
      <c r="C397" s="1" t="s">
        <v>2349</v>
      </c>
      <c r="D397" s="5" t="s">
        <v>1670</v>
      </c>
      <c r="E397" s="5" t="s">
        <v>2357</v>
      </c>
      <c r="F397" s="5" t="s">
        <v>2358</v>
      </c>
      <c r="G397" s="5" t="s">
        <v>481</v>
      </c>
      <c r="H397" s="5" t="s">
        <v>2359</v>
      </c>
      <c r="I397" s="5" t="s">
        <v>2360</v>
      </c>
      <c r="J397" s="5"/>
      <c r="K397" s="21"/>
      <c r="L397" s="24"/>
      <c r="M397" s="5"/>
      <c r="N397" s="5" t="s">
        <v>1087</v>
      </c>
    </row>
    <row r="398" spans="2:14" ht="18" customHeight="1" x14ac:dyDescent="0.2">
      <c r="B398" s="21">
        <v>390</v>
      </c>
      <c r="C398" s="1" t="s">
        <v>2361</v>
      </c>
      <c r="D398" s="5" t="s">
        <v>1670</v>
      </c>
      <c r="E398" s="5" t="s">
        <v>2362</v>
      </c>
      <c r="F398" s="5" t="s">
        <v>406</v>
      </c>
      <c r="G398" s="5" t="s">
        <v>469</v>
      </c>
      <c r="H398" s="5" t="s">
        <v>2363</v>
      </c>
      <c r="I398" s="5" t="s">
        <v>2364</v>
      </c>
      <c r="J398" s="5"/>
      <c r="K398" s="21"/>
      <c r="L398" s="24"/>
      <c r="M398" s="5"/>
      <c r="N398" s="5" t="s">
        <v>1087</v>
      </c>
    </row>
    <row r="399" spans="2:14" ht="18" customHeight="1" x14ac:dyDescent="0.2">
      <c r="B399" s="21">
        <v>391</v>
      </c>
      <c r="C399" s="1" t="s">
        <v>2361</v>
      </c>
      <c r="D399" s="5" t="s">
        <v>1670</v>
      </c>
      <c r="E399" s="5" t="s">
        <v>2365</v>
      </c>
      <c r="F399" s="5" t="s">
        <v>1245</v>
      </c>
      <c r="G399" s="5" t="s">
        <v>565</v>
      </c>
      <c r="H399" s="5" t="s">
        <v>2366</v>
      </c>
      <c r="I399" s="5" t="s">
        <v>2367</v>
      </c>
      <c r="J399" s="5"/>
      <c r="K399" s="21"/>
      <c r="L399" s="24"/>
      <c r="M399" s="5"/>
      <c r="N399" s="5" t="s">
        <v>1087</v>
      </c>
    </row>
    <row r="400" spans="2:14" ht="18" customHeight="1" x14ac:dyDescent="0.2">
      <c r="B400" s="21">
        <v>392</v>
      </c>
      <c r="C400" s="1" t="s">
        <v>2361</v>
      </c>
      <c r="D400" s="5" t="s">
        <v>1670</v>
      </c>
      <c r="E400" s="5" t="s">
        <v>2368</v>
      </c>
      <c r="F400" s="5" t="s">
        <v>1156</v>
      </c>
      <c r="G400" s="5" t="s">
        <v>565</v>
      </c>
      <c r="H400" s="5" t="s">
        <v>2369</v>
      </c>
      <c r="I400" s="5" t="s">
        <v>2370</v>
      </c>
      <c r="J400" s="5"/>
      <c r="K400" s="21"/>
      <c r="L400" s="24"/>
      <c r="M400" s="5"/>
      <c r="N400" s="5" t="s">
        <v>1087</v>
      </c>
    </row>
    <row r="401" spans="2:14" ht="18" customHeight="1" x14ac:dyDescent="0.2">
      <c r="B401" s="21">
        <v>393</v>
      </c>
      <c r="C401" s="1" t="s">
        <v>2371</v>
      </c>
      <c r="D401" s="5" t="s">
        <v>1670</v>
      </c>
      <c r="E401" s="5" t="s">
        <v>2372</v>
      </c>
      <c r="F401" s="5" t="s">
        <v>406</v>
      </c>
      <c r="G401" s="5" t="s">
        <v>469</v>
      </c>
      <c r="H401" s="5" t="s">
        <v>2373</v>
      </c>
      <c r="I401" s="5" t="s">
        <v>2374</v>
      </c>
      <c r="J401" s="5"/>
      <c r="K401" s="21"/>
      <c r="L401" s="24"/>
      <c r="M401" s="5"/>
      <c r="N401" s="5" t="s">
        <v>1087</v>
      </c>
    </row>
    <row r="402" spans="2:14" ht="18" customHeight="1" x14ac:dyDescent="0.2">
      <c r="B402" s="21">
        <v>394</v>
      </c>
      <c r="C402" s="1" t="s">
        <v>2371</v>
      </c>
      <c r="D402" s="5" t="s">
        <v>1670</v>
      </c>
      <c r="E402" s="5" t="s">
        <v>2375</v>
      </c>
      <c r="F402" s="5" t="s">
        <v>1245</v>
      </c>
      <c r="G402" s="5" t="s">
        <v>565</v>
      </c>
      <c r="H402" s="5" t="s">
        <v>2376</v>
      </c>
      <c r="I402" s="5" t="s">
        <v>2377</v>
      </c>
      <c r="J402" s="5"/>
      <c r="K402" s="21"/>
      <c r="L402" s="24"/>
      <c r="M402" s="5"/>
      <c r="N402" s="5" t="s">
        <v>1087</v>
      </c>
    </row>
    <row r="403" spans="2:14" ht="18" customHeight="1" x14ac:dyDescent="0.2">
      <c r="B403" s="21">
        <v>395</v>
      </c>
      <c r="C403" s="1" t="s">
        <v>2371</v>
      </c>
      <c r="D403" s="5" t="s">
        <v>1670</v>
      </c>
      <c r="E403" s="5" t="s">
        <v>2378</v>
      </c>
      <c r="F403" s="5" t="s">
        <v>1170</v>
      </c>
      <c r="G403" s="5" t="s">
        <v>455</v>
      </c>
      <c r="H403" s="5" t="s">
        <v>2379</v>
      </c>
      <c r="I403" s="5" t="s">
        <v>2380</v>
      </c>
      <c r="J403" s="5"/>
      <c r="K403" s="21" t="s">
        <v>1086</v>
      </c>
      <c r="L403" s="24"/>
      <c r="M403" s="5"/>
      <c r="N403" s="5" t="s">
        <v>1087</v>
      </c>
    </row>
    <row r="404" spans="2:14" ht="18" customHeight="1" x14ac:dyDescent="0.2">
      <c r="B404" s="21">
        <v>396</v>
      </c>
      <c r="C404" s="1" t="s">
        <v>2371</v>
      </c>
      <c r="D404" s="5" t="s">
        <v>1670</v>
      </c>
      <c r="E404" s="5" t="s">
        <v>2381</v>
      </c>
      <c r="F404" s="5" t="s">
        <v>1179</v>
      </c>
      <c r="G404" s="5" t="s">
        <v>455</v>
      </c>
      <c r="H404" s="5" t="s">
        <v>2382</v>
      </c>
      <c r="I404" s="5" t="s">
        <v>2383</v>
      </c>
      <c r="J404" s="5"/>
      <c r="K404" s="21"/>
      <c r="L404" s="24"/>
      <c r="M404" s="5"/>
      <c r="N404" s="5" t="s">
        <v>1087</v>
      </c>
    </row>
    <row r="405" spans="2:14" ht="18" customHeight="1" x14ac:dyDescent="0.2">
      <c r="B405" s="21">
        <v>397</v>
      </c>
      <c r="C405" s="1" t="s">
        <v>2384</v>
      </c>
      <c r="D405" s="5" t="s">
        <v>1670</v>
      </c>
      <c r="E405" s="5" t="s">
        <v>2385</v>
      </c>
      <c r="F405" s="5" t="s">
        <v>406</v>
      </c>
      <c r="G405" s="5" t="s">
        <v>469</v>
      </c>
      <c r="H405" s="5" t="s">
        <v>2386</v>
      </c>
      <c r="I405" s="5" t="s">
        <v>2387</v>
      </c>
      <c r="J405" s="5"/>
      <c r="K405" s="21" t="s">
        <v>1086</v>
      </c>
      <c r="L405" s="24"/>
      <c r="M405" s="5"/>
      <c r="N405" s="5" t="s">
        <v>1087</v>
      </c>
    </row>
    <row r="406" spans="2:14" ht="30" customHeight="1" x14ac:dyDescent="0.2">
      <c r="B406" s="21">
        <v>398</v>
      </c>
      <c r="C406" s="1" t="s">
        <v>2384</v>
      </c>
      <c r="D406" s="5" t="s">
        <v>1670</v>
      </c>
      <c r="E406" s="5" t="s">
        <v>2388</v>
      </c>
      <c r="F406" s="5" t="s">
        <v>2389</v>
      </c>
      <c r="G406" s="5" t="s">
        <v>481</v>
      </c>
      <c r="H406" s="5" t="s">
        <v>2390</v>
      </c>
      <c r="I406" s="5" t="s">
        <v>2391</v>
      </c>
      <c r="J406" s="5"/>
      <c r="K406" s="21"/>
      <c r="L406" s="24"/>
      <c r="M406" s="5"/>
      <c r="N406" s="5" t="s">
        <v>1087</v>
      </c>
    </row>
    <row r="407" spans="2:14" ht="18" customHeight="1" x14ac:dyDescent="0.2">
      <c r="B407" s="21">
        <v>399</v>
      </c>
      <c r="C407" s="1" t="s">
        <v>2384</v>
      </c>
      <c r="D407" s="5" t="s">
        <v>1670</v>
      </c>
      <c r="E407" s="5" t="s">
        <v>2392</v>
      </c>
      <c r="F407" s="5" t="s">
        <v>1179</v>
      </c>
      <c r="G407" s="5" t="s">
        <v>455</v>
      </c>
      <c r="H407" s="5" t="s">
        <v>2393</v>
      </c>
      <c r="I407" s="5" t="s">
        <v>2394</v>
      </c>
      <c r="J407" s="5"/>
      <c r="K407" s="21"/>
      <c r="L407" s="24"/>
      <c r="M407" s="5"/>
      <c r="N407" s="5" t="s">
        <v>1087</v>
      </c>
    </row>
    <row r="408" spans="2:14" ht="18" customHeight="1" x14ac:dyDescent="0.2">
      <c r="B408" s="21">
        <v>400</v>
      </c>
      <c r="C408" s="1" t="s">
        <v>2395</v>
      </c>
      <c r="D408" s="5" t="s">
        <v>1670</v>
      </c>
      <c r="E408" s="5" t="s">
        <v>2396</v>
      </c>
      <c r="F408" s="5" t="s">
        <v>2397</v>
      </c>
      <c r="G408" s="5" t="s">
        <v>455</v>
      </c>
      <c r="H408" s="5" t="s">
        <v>2398</v>
      </c>
      <c r="I408" s="5" t="s">
        <v>2399</v>
      </c>
      <c r="J408" s="5"/>
      <c r="K408" s="21"/>
      <c r="L408" s="24"/>
      <c r="M408" s="5"/>
      <c r="N408" s="5" t="s">
        <v>1087</v>
      </c>
    </row>
    <row r="409" spans="2:14" ht="18" customHeight="1" x14ac:dyDescent="0.2">
      <c r="B409" s="21">
        <v>401</v>
      </c>
      <c r="C409" s="1" t="s">
        <v>2395</v>
      </c>
      <c r="D409" s="5" t="s">
        <v>1670</v>
      </c>
      <c r="E409" s="5" t="s">
        <v>2400</v>
      </c>
      <c r="F409" s="5"/>
      <c r="G409" s="5" t="s">
        <v>501</v>
      </c>
      <c r="H409" s="5" t="s">
        <v>2401</v>
      </c>
      <c r="I409" s="5" t="s">
        <v>2402</v>
      </c>
      <c r="J409" s="5"/>
      <c r="K409" s="21"/>
      <c r="L409" s="24"/>
      <c r="M409" s="5"/>
      <c r="N409" s="5" t="s">
        <v>1087</v>
      </c>
    </row>
    <row r="410" spans="2:14" ht="18" customHeight="1" x14ac:dyDescent="0.2">
      <c r="B410" s="21">
        <v>402</v>
      </c>
      <c r="C410" s="1" t="s">
        <v>2403</v>
      </c>
      <c r="D410" s="5" t="s">
        <v>1670</v>
      </c>
      <c r="E410" s="5" t="s">
        <v>2404</v>
      </c>
      <c r="F410" s="5"/>
      <c r="G410" s="5" t="s">
        <v>501</v>
      </c>
      <c r="H410" s="5" t="s">
        <v>2405</v>
      </c>
      <c r="I410" s="5" t="s">
        <v>2406</v>
      </c>
      <c r="J410" s="5"/>
      <c r="K410" s="21"/>
      <c r="L410" s="24"/>
      <c r="M410" s="5"/>
      <c r="N410" s="5" t="s">
        <v>1087</v>
      </c>
    </row>
    <row r="411" spans="2:14" ht="18" customHeight="1" x14ac:dyDescent="0.2">
      <c r="B411" s="21">
        <v>403</v>
      </c>
      <c r="C411" s="1" t="s">
        <v>2403</v>
      </c>
      <c r="D411" s="5" t="s">
        <v>1670</v>
      </c>
      <c r="E411" s="5" t="s">
        <v>2407</v>
      </c>
      <c r="F411" s="5"/>
      <c r="G411" s="5" t="s">
        <v>501</v>
      </c>
      <c r="H411" s="5"/>
      <c r="I411" s="5" t="s">
        <v>2408</v>
      </c>
      <c r="J411" s="5"/>
      <c r="K411" s="21"/>
      <c r="L411" s="24"/>
      <c r="M411" s="5"/>
      <c r="N411" s="5" t="s">
        <v>1087</v>
      </c>
    </row>
    <row r="412" spans="2:14" ht="18" customHeight="1" x14ac:dyDescent="0.2">
      <c r="B412" s="21">
        <v>404</v>
      </c>
      <c r="C412" s="1" t="s">
        <v>2409</v>
      </c>
      <c r="D412" s="5" t="s">
        <v>1670</v>
      </c>
      <c r="E412" s="5" t="s">
        <v>2410</v>
      </c>
      <c r="F412" s="5"/>
      <c r="G412" s="5" t="s">
        <v>501</v>
      </c>
      <c r="H412" s="5" t="s">
        <v>2411</v>
      </c>
      <c r="I412" s="5" t="s">
        <v>2412</v>
      </c>
      <c r="J412" s="5"/>
      <c r="K412" s="21" t="s">
        <v>1086</v>
      </c>
      <c r="L412" s="24"/>
      <c r="M412" s="5"/>
      <c r="N412" s="5" t="s">
        <v>1087</v>
      </c>
    </row>
    <row r="413" spans="2:14" ht="18" customHeight="1" x14ac:dyDescent="0.2">
      <c r="B413" s="21">
        <v>405</v>
      </c>
      <c r="C413" s="1" t="s">
        <v>2413</v>
      </c>
      <c r="D413" s="5" t="s">
        <v>1672</v>
      </c>
      <c r="E413" s="5" t="s">
        <v>2414</v>
      </c>
      <c r="F413" s="5" t="s">
        <v>1254</v>
      </c>
      <c r="G413" s="5" t="s">
        <v>469</v>
      </c>
      <c r="H413" s="5" t="s">
        <v>2415</v>
      </c>
      <c r="I413" s="5" t="s">
        <v>2416</v>
      </c>
      <c r="J413" s="5"/>
      <c r="K413" s="21" t="s">
        <v>1086</v>
      </c>
      <c r="L413" s="24"/>
      <c r="M413" s="5"/>
      <c r="N413" s="5" t="s">
        <v>1087</v>
      </c>
    </row>
    <row r="414" spans="2:14" ht="18" customHeight="1" x14ac:dyDescent="0.2">
      <c r="B414" s="21">
        <v>406</v>
      </c>
      <c r="C414" s="1" t="s">
        <v>2413</v>
      </c>
      <c r="D414" s="5" t="s">
        <v>1672</v>
      </c>
      <c r="E414" s="5" t="s">
        <v>2417</v>
      </c>
      <c r="F414" s="5" t="s">
        <v>1245</v>
      </c>
      <c r="G414" s="5" t="s">
        <v>565</v>
      </c>
      <c r="H414" s="5" t="s">
        <v>2418</v>
      </c>
      <c r="I414" s="5" t="s">
        <v>2419</v>
      </c>
      <c r="J414" s="5"/>
      <c r="K414" s="21"/>
      <c r="L414" s="24"/>
      <c r="M414" s="5"/>
      <c r="N414" s="5" t="s">
        <v>1087</v>
      </c>
    </row>
    <row r="415" spans="2:14" ht="18" customHeight="1" x14ac:dyDescent="0.2">
      <c r="B415" s="21">
        <v>407</v>
      </c>
      <c r="C415" s="1" t="s">
        <v>2413</v>
      </c>
      <c r="D415" s="5" t="s">
        <v>1672</v>
      </c>
      <c r="E415" s="5" t="s">
        <v>2420</v>
      </c>
      <c r="F415" s="5" t="s">
        <v>1156</v>
      </c>
      <c r="G415" s="5" t="s">
        <v>565</v>
      </c>
      <c r="H415" s="5" t="s">
        <v>2421</v>
      </c>
      <c r="I415" s="5" t="s">
        <v>2422</v>
      </c>
      <c r="J415" s="5"/>
      <c r="K415" s="21" t="s">
        <v>1086</v>
      </c>
      <c r="L415" s="24"/>
      <c r="M415" s="5"/>
      <c r="N415" s="5" t="s">
        <v>1087</v>
      </c>
    </row>
    <row r="416" spans="2:14" ht="18" customHeight="1" x14ac:dyDescent="0.2">
      <c r="B416" s="21">
        <v>408</v>
      </c>
      <c r="C416" s="1" t="s">
        <v>2423</v>
      </c>
      <c r="D416" s="5" t="s">
        <v>1672</v>
      </c>
      <c r="E416" s="5" t="s">
        <v>2424</v>
      </c>
      <c r="F416" s="5" t="s">
        <v>1389</v>
      </c>
      <c r="G416" s="5" t="s">
        <v>565</v>
      </c>
      <c r="H416" s="5" t="s">
        <v>2425</v>
      </c>
      <c r="I416" s="5" t="s">
        <v>2426</v>
      </c>
      <c r="J416" s="5"/>
      <c r="K416" s="21"/>
      <c r="L416" s="24"/>
      <c r="M416" s="5"/>
      <c r="N416" s="5" t="s">
        <v>1087</v>
      </c>
    </row>
    <row r="417" spans="2:14" ht="30" customHeight="1" x14ac:dyDescent="0.2">
      <c r="B417" s="21">
        <v>409</v>
      </c>
      <c r="C417" s="1" t="s">
        <v>2423</v>
      </c>
      <c r="D417" s="5" t="s">
        <v>1672</v>
      </c>
      <c r="E417" s="5" t="s">
        <v>2427</v>
      </c>
      <c r="F417" s="5" t="s">
        <v>2308</v>
      </c>
      <c r="G417" s="5" t="s">
        <v>481</v>
      </c>
      <c r="H417" s="5" t="s">
        <v>2428</v>
      </c>
      <c r="I417" s="5" t="s">
        <v>2429</v>
      </c>
      <c r="J417" s="5"/>
      <c r="K417" s="21"/>
      <c r="L417" s="24"/>
      <c r="M417" s="5"/>
      <c r="N417" s="5" t="s">
        <v>1087</v>
      </c>
    </row>
    <row r="418" spans="2:14" ht="18" customHeight="1" x14ac:dyDescent="0.2">
      <c r="B418" s="21">
        <v>410</v>
      </c>
      <c r="C418" s="1" t="s">
        <v>2430</v>
      </c>
      <c r="D418" s="5" t="s">
        <v>1672</v>
      </c>
      <c r="E418" s="5" t="s">
        <v>2431</v>
      </c>
      <c r="F418" s="5"/>
      <c r="G418" s="5" t="s">
        <v>501</v>
      </c>
      <c r="H418" s="5" t="s">
        <v>2432</v>
      </c>
      <c r="I418" s="5" t="s">
        <v>2433</v>
      </c>
      <c r="J418" s="5"/>
      <c r="K418" s="21"/>
      <c r="L418" s="24"/>
      <c r="M418" s="5"/>
      <c r="N418" s="5" t="s">
        <v>1087</v>
      </c>
    </row>
    <row r="419" spans="2:14" ht="18" customHeight="1" x14ac:dyDescent="0.2">
      <c r="B419" s="21">
        <v>411</v>
      </c>
      <c r="C419" s="1" t="s">
        <v>2434</v>
      </c>
      <c r="D419" s="5" t="s">
        <v>1672</v>
      </c>
      <c r="E419" s="5" t="s">
        <v>2435</v>
      </c>
      <c r="F419" s="5" t="s">
        <v>2436</v>
      </c>
      <c r="G419" s="5" t="s">
        <v>565</v>
      </c>
      <c r="H419" s="5" t="s">
        <v>2437</v>
      </c>
      <c r="I419" s="5" t="s">
        <v>2438</v>
      </c>
      <c r="J419" s="5"/>
      <c r="K419" s="21"/>
      <c r="L419" s="24"/>
      <c r="M419" s="5"/>
      <c r="N419" s="5" t="s">
        <v>1087</v>
      </c>
    </row>
    <row r="420" spans="2:14" ht="30" customHeight="1" x14ac:dyDescent="0.2">
      <c r="B420" s="21">
        <v>412</v>
      </c>
      <c r="C420" s="1" t="s">
        <v>2439</v>
      </c>
      <c r="D420" s="5" t="s">
        <v>1672</v>
      </c>
      <c r="E420" s="5" t="s">
        <v>2440</v>
      </c>
      <c r="F420" s="5"/>
      <c r="G420" s="5" t="s">
        <v>501</v>
      </c>
      <c r="H420" s="5" t="s">
        <v>2441</v>
      </c>
      <c r="I420" s="5" t="s">
        <v>2442</v>
      </c>
      <c r="J420" s="5"/>
      <c r="K420" s="21" t="s">
        <v>1086</v>
      </c>
      <c r="L420" s="24"/>
      <c r="M420" s="5"/>
      <c r="N420" s="5" t="s">
        <v>1087</v>
      </c>
    </row>
    <row r="421" spans="2:14" ht="18" customHeight="1" x14ac:dyDescent="0.2">
      <c r="B421" s="21">
        <v>413</v>
      </c>
      <c r="C421" s="1" t="s">
        <v>2443</v>
      </c>
      <c r="D421" s="5" t="s">
        <v>1672</v>
      </c>
      <c r="E421" s="5" t="s">
        <v>2444</v>
      </c>
      <c r="F421" s="5"/>
      <c r="G421" s="5" t="s">
        <v>501</v>
      </c>
      <c r="H421" s="5" t="s">
        <v>2445</v>
      </c>
      <c r="I421" s="5" t="s">
        <v>2446</v>
      </c>
      <c r="J421" s="5"/>
      <c r="K421" s="21"/>
      <c r="L421" s="24"/>
      <c r="M421" s="5"/>
      <c r="N421" s="5" t="s">
        <v>1087</v>
      </c>
    </row>
    <row r="422" spans="2:14" ht="18" customHeight="1" x14ac:dyDescent="0.2">
      <c r="B422" s="21">
        <v>414</v>
      </c>
      <c r="C422" s="1" t="s">
        <v>2447</v>
      </c>
      <c r="D422" s="5" t="s">
        <v>1672</v>
      </c>
      <c r="E422" s="5" t="s">
        <v>2448</v>
      </c>
      <c r="F422" s="5"/>
      <c r="G422" s="5" t="s">
        <v>501</v>
      </c>
      <c r="H422" s="5" t="s">
        <v>2449</v>
      </c>
      <c r="I422" s="5" t="s">
        <v>2450</v>
      </c>
      <c r="J422" s="5"/>
      <c r="K422" s="21"/>
      <c r="L422" s="24"/>
      <c r="M422" s="5"/>
      <c r="N422" s="5" t="s">
        <v>1087</v>
      </c>
    </row>
    <row r="423" spans="2:14" ht="18" customHeight="1" x14ac:dyDescent="0.2">
      <c r="B423" s="21">
        <v>415</v>
      </c>
      <c r="C423" s="1" t="s">
        <v>2447</v>
      </c>
      <c r="D423" s="5" t="s">
        <v>1672</v>
      </c>
      <c r="E423" s="5" t="s">
        <v>2451</v>
      </c>
      <c r="F423" s="5"/>
      <c r="G423" s="5" t="s">
        <v>501</v>
      </c>
      <c r="H423" s="5" t="s">
        <v>2452</v>
      </c>
      <c r="I423" s="5" t="s">
        <v>2453</v>
      </c>
      <c r="J423" s="5"/>
      <c r="K423" s="21"/>
      <c r="L423" s="24"/>
      <c r="M423" s="5"/>
      <c r="N423" s="5" t="s">
        <v>1087</v>
      </c>
    </row>
    <row r="424" spans="2:14" ht="18" customHeight="1" x14ac:dyDescent="0.2">
      <c r="B424" s="21">
        <v>416</v>
      </c>
      <c r="C424" s="1" t="s">
        <v>2454</v>
      </c>
      <c r="D424" s="5" t="s">
        <v>1672</v>
      </c>
      <c r="E424" s="5" t="s">
        <v>2455</v>
      </c>
      <c r="F424" s="5"/>
      <c r="G424" s="5" t="s">
        <v>501</v>
      </c>
      <c r="H424" s="5" t="s">
        <v>2456</v>
      </c>
      <c r="I424" s="5" t="s">
        <v>2457</v>
      </c>
      <c r="J424" s="5"/>
      <c r="K424" s="21"/>
      <c r="L424" s="24"/>
      <c r="M424" s="5"/>
      <c r="N424" s="5" t="s">
        <v>1087</v>
      </c>
    </row>
    <row r="425" spans="2:14" ht="18" customHeight="1" x14ac:dyDescent="0.2">
      <c r="B425" s="21">
        <v>417</v>
      </c>
      <c r="C425" s="1" t="s">
        <v>2454</v>
      </c>
      <c r="D425" s="5" t="s">
        <v>1672</v>
      </c>
      <c r="E425" s="5" t="s">
        <v>2458</v>
      </c>
      <c r="F425" s="5"/>
      <c r="G425" s="5" t="s">
        <v>501</v>
      </c>
      <c r="H425" s="5" t="s">
        <v>2459</v>
      </c>
      <c r="I425" s="5" t="s">
        <v>2460</v>
      </c>
      <c r="J425" s="5"/>
      <c r="K425" s="21" t="s">
        <v>1086</v>
      </c>
      <c r="L425" s="24"/>
      <c r="M425" s="5"/>
      <c r="N425" s="5" t="s">
        <v>1087</v>
      </c>
    </row>
    <row r="426" spans="2:14" ht="18" customHeight="1" x14ac:dyDescent="0.2">
      <c r="B426" s="21">
        <v>418</v>
      </c>
      <c r="C426" s="1" t="s">
        <v>2454</v>
      </c>
      <c r="D426" s="5" t="s">
        <v>1672</v>
      </c>
      <c r="E426" s="5" t="s">
        <v>2461</v>
      </c>
      <c r="F426" s="5"/>
      <c r="G426" s="5" t="s">
        <v>501</v>
      </c>
      <c r="H426" s="5" t="s">
        <v>2462</v>
      </c>
      <c r="I426" s="5" t="s">
        <v>2463</v>
      </c>
      <c r="J426" s="5"/>
      <c r="K426" s="21" t="s">
        <v>1086</v>
      </c>
      <c r="L426" s="24"/>
      <c r="M426" s="5"/>
      <c r="N426" s="5" t="s">
        <v>1087</v>
      </c>
    </row>
    <row r="427" spans="2:14" ht="30" customHeight="1" x14ac:dyDescent="0.2">
      <c r="B427" s="21">
        <v>419</v>
      </c>
      <c r="C427" s="1" t="s">
        <v>2464</v>
      </c>
      <c r="D427" s="5" t="s">
        <v>1672</v>
      </c>
      <c r="E427" s="5" t="s">
        <v>2465</v>
      </c>
      <c r="F427" s="5"/>
      <c r="G427" s="5" t="s">
        <v>501</v>
      </c>
      <c r="H427" s="5" t="s">
        <v>2466</v>
      </c>
      <c r="I427" s="5" t="s">
        <v>2467</v>
      </c>
      <c r="J427" s="5"/>
      <c r="K427" s="21" t="s">
        <v>1086</v>
      </c>
      <c r="L427" s="24"/>
      <c r="M427" s="5"/>
      <c r="N427" s="5" t="s">
        <v>1087</v>
      </c>
    </row>
    <row r="428" spans="2:14" ht="18" customHeight="1" x14ac:dyDescent="0.2">
      <c r="B428" s="21">
        <v>420</v>
      </c>
      <c r="C428" s="1" t="s">
        <v>2468</v>
      </c>
      <c r="D428" s="5" t="s">
        <v>1672</v>
      </c>
      <c r="E428" s="5" t="s">
        <v>2469</v>
      </c>
      <c r="F428" s="5" t="s">
        <v>2470</v>
      </c>
      <c r="G428" s="5" t="s">
        <v>565</v>
      </c>
      <c r="H428" s="5" t="s">
        <v>2471</v>
      </c>
      <c r="I428" s="5" t="s">
        <v>2472</v>
      </c>
      <c r="J428" s="5"/>
      <c r="K428" s="21"/>
      <c r="L428" s="24"/>
      <c r="M428" s="5"/>
      <c r="N428" s="5" t="s">
        <v>1087</v>
      </c>
    </row>
  </sheetData>
  <autoFilter ref="B8:N428" xr:uid="{00000000-0009-0000-0000-00000C000000}"/>
  <mergeCells count="4">
    <mergeCell ref="B2:N2"/>
    <mergeCell ref="B3:N3"/>
    <mergeCell ref="B4:N4"/>
    <mergeCell ref="B7:N7"/>
  </mergeCells>
  <conditionalFormatting sqref="J9:J428">
    <cfRule type="expression" dxfId="2" priority="2">
      <formula>$J9&lt;&gt;""</formula>
    </cfRule>
  </conditionalFormatting>
  <conditionalFormatting sqref="K9:K428">
    <cfRule type="expression" dxfId="1" priority="3">
      <formula>$K9="Coordonnées à vérifier"</formula>
    </cfRule>
    <cfRule type="expression" dxfId="0" priority="4">
      <formula>$K9="RDV obtenu"</formula>
    </cfRule>
  </conditionalFormatting>
  <hyperlinks>
    <hyperlink ref="B5" r:id="rId1" location="'Synthèse'!A1" xr:uid="{00000000-0004-0000-0C00-000000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showErrorMessage="1" error="Choisir une valeur dans la liste" xr:uid="{00000000-0002-0000-0C00-000000000000}">
          <x14:formula1>
            <xm:f>Listes!$L$2:$L$6</xm:f>
          </x14:formula1>
          <x14:formula2>
            <xm:f>0</xm:f>
          </x14:formula2>
          <xm:sqref>K9:K428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10"/>
  <sheetViews>
    <sheetView zoomScaleNormal="100" workbookViewId="0">
      <selection activeCell="F17" sqref="F17"/>
    </sheetView>
  </sheetViews>
  <sheetFormatPr baseColWidth="10" defaultColWidth="8.6640625" defaultRowHeight="15" x14ac:dyDescent="0.2"/>
  <cols>
    <col min="1" max="1" width="23.1640625" bestFit="1" customWidth="1"/>
    <col min="3" max="3" width="16" customWidth="1"/>
  </cols>
  <sheetData>
    <row r="1" spans="1:12" x14ac:dyDescent="0.2">
      <c r="A1" s="36" t="s">
        <v>2473</v>
      </c>
      <c r="B1" s="36" t="s">
        <v>2474</v>
      </c>
      <c r="C1" s="36" t="s">
        <v>2475</v>
      </c>
      <c r="D1" s="36" t="s">
        <v>2476</v>
      </c>
      <c r="E1" s="36" t="s">
        <v>2477</v>
      </c>
      <c r="F1" s="36" t="s">
        <v>2478</v>
      </c>
      <c r="G1" s="36" t="s">
        <v>2479</v>
      </c>
      <c r="H1" s="36" t="s">
        <v>971</v>
      </c>
      <c r="I1" s="36" t="s">
        <v>2480</v>
      </c>
      <c r="J1" s="36" t="s">
        <v>2481</v>
      </c>
      <c r="K1" s="36" t="s">
        <v>2482</v>
      </c>
      <c r="L1" s="36" t="s">
        <v>2483</v>
      </c>
    </row>
    <row r="2" spans="1:12" x14ac:dyDescent="0.2">
      <c r="A2" t="s">
        <v>71</v>
      </c>
      <c r="B2" t="s">
        <v>40</v>
      </c>
      <c r="C2" t="s">
        <v>83</v>
      </c>
      <c r="D2" t="s">
        <v>152</v>
      </c>
      <c r="E2" t="s">
        <v>132</v>
      </c>
      <c r="F2" t="s">
        <v>2484</v>
      </c>
      <c r="G2" t="s">
        <v>2485</v>
      </c>
      <c r="H2" t="s">
        <v>974</v>
      </c>
      <c r="I2" t="s">
        <v>694</v>
      </c>
      <c r="J2" t="s">
        <v>714</v>
      </c>
      <c r="K2" t="s">
        <v>364</v>
      </c>
      <c r="L2" t="s">
        <v>1048</v>
      </c>
    </row>
    <row r="3" spans="1:12" x14ac:dyDescent="0.2">
      <c r="A3" t="s">
        <v>72</v>
      </c>
      <c r="B3" t="s">
        <v>42</v>
      </c>
      <c r="C3" t="s">
        <v>84</v>
      </c>
      <c r="D3" t="s">
        <v>131</v>
      </c>
      <c r="E3" t="s">
        <v>146</v>
      </c>
      <c r="F3" t="s">
        <v>2486</v>
      </c>
      <c r="G3" t="s">
        <v>597</v>
      </c>
      <c r="H3" t="s">
        <v>2487</v>
      </c>
      <c r="I3" t="s">
        <v>691</v>
      </c>
      <c r="J3" t="s">
        <v>2487</v>
      </c>
      <c r="K3" t="s">
        <v>360</v>
      </c>
      <c r="L3" t="s">
        <v>2488</v>
      </c>
    </row>
    <row r="4" spans="1:12" x14ac:dyDescent="0.2">
      <c r="A4" t="s">
        <v>73</v>
      </c>
      <c r="B4" t="s">
        <v>44</v>
      </c>
      <c r="C4" t="s">
        <v>85</v>
      </c>
      <c r="D4" t="s">
        <v>2489</v>
      </c>
      <c r="E4" t="s">
        <v>153</v>
      </c>
      <c r="F4" t="s">
        <v>2490</v>
      </c>
      <c r="G4" t="s">
        <v>2491</v>
      </c>
      <c r="H4" t="s">
        <v>2492</v>
      </c>
      <c r="I4" t="s">
        <v>2493</v>
      </c>
      <c r="J4" t="s">
        <v>776</v>
      </c>
      <c r="K4" t="s">
        <v>356</v>
      </c>
      <c r="L4" t="s">
        <v>2494</v>
      </c>
    </row>
    <row r="5" spans="1:12" x14ac:dyDescent="0.2">
      <c r="A5" t="s">
        <v>74</v>
      </c>
      <c r="B5" t="s">
        <v>46</v>
      </c>
      <c r="C5" t="s">
        <v>2524</v>
      </c>
      <c r="H5" t="s">
        <v>2495</v>
      </c>
      <c r="I5" t="s">
        <v>2496</v>
      </c>
      <c r="K5" t="s">
        <v>2497</v>
      </c>
      <c r="L5" t="s">
        <v>1086</v>
      </c>
    </row>
    <row r="6" spans="1:12" x14ac:dyDescent="0.2">
      <c r="A6" t="s">
        <v>75</v>
      </c>
      <c r="C6" t="s">
        <v>86</v>
      </c>
      <c r="I6" t="s">
        <v>2498</v>
      </c>
      <c r="K6" t="s">
        <v>2499</v>
      </c>
      <c r="L6" t="s">
        <v>2500</v>
      </c>
    </row>
    <row r="7" spans="1:12" x14ac:dyDescent="0.2">
      <c r="A7" t="s">
        <v>76</v>
      </c>
      <c r="I7" t="s">
        <v>78</v>
      </c>
      <c r="K7" t="s">
        <v>78</v>
      </c>
    </row>
    <row r="8" spans="1:12" x14ac:dyDescent="0.2">
      <c r="A8" t="s">
        <v>77</v>
      </c>
      <c r="I8" t="s">
        <v>2501</v>
      </c>
    </row>
    <row r="9" spans="1:12" x14ac:dyDescent="0.2">
      <c r="A9" t="s">
        <v>78</v>
      </c>
    </row>
    <row r="10" spans="1:12" x14ac:dyDescent="0.2">
      <c r="A10" t="s">
        <v>79</v>
      </c>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14</vt:i4>
      </vt:variant>
    </vt:vector>
  </HeadingPairs>
  <TitlesOfParts>
    <vt:vector size="14" baseType="lpstr">
      <vt:lpstr>Synthèse</vt:lpstr>
      <vt:lpstr>Pipeline global</vt:lpstr>
      <vt:lpstr>Renouvellements</vt:lpstr>
      <vt:lpstr>CNAM</vt:lpstr>
      <vt:lpstr>CNPS</vt:lpstr>
      <vt:lpstr>FER</vt:lpstr>
      <vt:lpstr>NSIA</vt:lpstr>
      <vt:lpstr>Orange Business</vt:lpstr>
      <vt:lpstr>NEURONES</vt:lpstr>
      <vt:lpstr>Appels d’offres</vt:lpstr>
      <vt:lpstr>Solutions &amp; prospects</vt:lpstr>
      <vt:lpstr>Plan d’actions</vt:lpstr>
      <vt:lpstr>Contacts</vt:lpstr>
      <vt:lpstr>Listes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Koumba ASSANVO</cp:lastModifiedBy>
  <cp:revision>0</cp:revision>
  <dcterms:created xsi:type="dcterms:W3CDTF">2026-10-19T09:14:49Z</dcterms:created>
  <dcterms:modified xsi:type="dcterms:W3CDTF">2026-10-19T14:57:14Z</dcterms:modified>
  <dc:language>en-US</dc:language>
</cp:coreProperties>
</file>